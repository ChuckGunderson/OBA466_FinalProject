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bo/Desktop/OBA 466/TermProject/"/>
    </mc:Choice>
  </mc:AlternateContent>
  <xr:revisionPtr revIDLastSave="0" documentId="13_ncr:1_{049034BB-3D43-B545-BE4C-CF31365ACA9C}" xr6:coauthVersionLast="47" xr6:coauthVersionMax="47" xr10:uidLastSave="{00000000-0000-0000-0000-000000000000}"/>
  <bookViews>
    <workbookView xWindow="10000" yWindow="500" windowWidth="17320" windowHeight="14860" firstSheet="2" activeTab="4" xr2:uid="{96C3C40F-0F7E-C744-9AFB-BDA97473819C}"/>
  </bookViews>
  <sheets>
    <sheet name="Average Farm Calculation" sheetId="1" r:id="rId1"/>
    <sheet name="Model" sheetId="3" r:id="rId2"/>
    <sheet name="ModelSeasons" sheetId="4" r:id="rId3"/>
    <sheet name="ModelMonthly" sheetId="8" r:id="rId4"/>
    <sheet name="ModelDemand (Hypothetical)" sheetId="9" r:id="rId5"/>
    <sheet name="ModelWaterAnnual" sheetId="10" r:id="rId6"/>
    <sheet name="Linearity Report 1" sheetId="16" r:id="rId7"/>
    <sheet name="ModelWaterMonthly" sheetId="11" r:id="rId8"/>
  </sheets>
  <definedNames>
    <definedName name="solver_adj" localSheetId="1" hidden="1">Model!$D$3:$D$15</definedName>
    <definedName name="solver_adj" localSheetId="4" hidden="1">'ModelDemand (Hypothetical)'!$Q$3:$Q$16</definedName>
    <definedName name="solver_adj" localSheetId="3" hidden="1">ModelMonthly!$Q$3:$Q$16</definedName>
    <definedName name="solver_adj" localSheetId="2" hidden="1">ModelSeasons!$X$3:$X$16</definedName>
    <definedName name="solver_adj" localSheetId="5" hidden="1">ModelWaterAnnual!$S$3:$S$16</definedName>
    <definedName name="solver_adj" localSheetId="7" hidden="1">ModelWaterMonthly!$R$3:$R$16</definedName>
    <definedName name="solver_cvg" localSheetId="1" hidden="1">0.0001</definedName>
    <definedName name="solver_cvg" localSheetId="4" hidden="1">0.0001</definedName>
    <definedName name="solver_cvg" localSheetId="3" hidden="1">0.0001</definedName>
    <definedName name="solver_cvg" localSheetId="2" hidden="1">0.0001</definedName>
    <definedName name="solver_cvg" localSheetId="5" hidden="1">0.0001</definedName>
    <definedName name="solver_cvg" localSheetId="7" hidden="1">0.0001</definedName>
    <definedName name="solver_drv" localSheetId="1" hidden="1">1</definedName>
    <definedName name="solver_drv" localSheetId="4" hidden="1">1</definedName>
    <definedName name="solver_drv" localSheetId="3" hidden="1">1</definedName>
    <definedName name="solver_drv" localSheetId="2" hidden="1">1</definedName>
    <definedName name="solver_drv" localSheetId="5" hidden="1">1</definedName>
    <definedName name="solver_drv" localSheetId="7" hidden="1">1</definedName>
    <definedName name="solver_eng" localSheetId="1" hidden="1">1</definedName>
    <definedName name="solver_eng" localSheetId="4" hidden="1">2</definedName>
    <definedName name="solver_eng" localSheetId="3" hidden="1">2</definedName>
    <definedName name="solver_eng" localSheetId="2" hidden="1">2</definedName>
    <definedName name="solver_eng" localSheetId="5" hidden="1">2</definedName>
    <definedName name="solver_eng" localSheetId="7" hidden="1">2</definedName>
    <definedName name="solver_itr" localSheetId="1" hidden="1">2147483647</definedName>
    <definedName name="solver_itr" localSheetId="4" hidden="1">2147483647</definedName>
    <definedName name="solver_itr" localSheetId="3" hidden="1">2147483647</definedName>
    <definedName name="solver_itr" localSheetId="2" hidden="1">2147483647</definedName>
    <definedName name="solver_itr" localSheetId="5" hidden="1">2147483647</definedName>
    <definedName name="solver_itr" localSheetId="7" hidden="1">2147483647</definedName>
    <definedName name="solver_lhs1" localSheetId="1" hidden="1">Model!$D$16</definedName>
    <definedName name="solver_lhs1" localSheetId="4" hidden="1">'ModelDemand (Hypothetical)'!$E$17:$P$17</definedName>
    <definedName name="solver_lhs1" localSheetId="3" hidden="1">ModelMonthly!$E$17:$P$17</definedName>
    <definedName name="solver_lhs1" localSheetId="2" hidden="1">ModelSeasons!$T$17</definedName>
    <definedName name="solver_lhs1" localSheetId="5" hidden="1">ModelWaterAnnual!$G$17:$R$17</definedName>
    <definedName name="solver_lhs1" localSheetId="7" hidden="1">ModelWaterMonthly!$F$17:$Q$17</definedName>
    <definedName name="solver_lhs2" localSheetId="1" hidden="1">Model!$D$3:$D$15</definedName>
    <definedName name="solver_lhs2" localSheetId="4" hidden="1">'ModelDemand (Hypothetical)'!$Q$3:$Q$16</definedName>
    <definedName name="solver_lhs2" localSheetId="3" hidden="1">ModelMonthly!$Q$3:$Q$16</definedName>
    <definedName name="solver_lhs2" localSheetId="2" hidden="1">ModelSeasons!$U$17</definedName>
    <definedName name="solver_lhs2" localSheetId="5" hidden="1">ModelWaterAnnual!$S$3:$S$16</definedName>
    <definedName name="solver_lhs2" localSheetId="7" hidden="1">ModelWaterMonthly!$R$3:$R$16</definedName>
    <definedName name="solver_lhs3" localSheetId="4" hidden="1">'ModelDemand (Hypothetical)'!$Q$3:$Q$16</definedName>
    <definedName name="solver_lhs3" localSheetId="3" hidden="1">ModelMonthly!$Q$3:$Q$16</definedName>
    <definedName name="solver_lhs3" localSheetId="2" hidden="1">ModelSeasons!$V$17</definedName>
    <definedName name="solver_lhs3" localSheetId="5" hidden="1">ModelWaterAnnual!$S$3:$S$16</definedName>
    <definedName name="solver_lhs3" localSheetId="7" hidden="1">ModelWaterMonthly!$R$3:$R$16</definedName>
    <definedName name="solver_lhs4" localSheetId="4" hidden="1">'ModelDemand (Hypothetical)'!$R$3:$R$16</definedName>
    <definedName name="solver_lhs4" localSheetId="3" hidden="1">ModelMonthly!$H$17</definedName>
    <definedName name="solver_lhs4" localSheetId="2" hidden="1">ModelSeasons!$W$17</definedName>
    <definedName name="solver_lhs4" localSheetId="5" hidden="1">ModelWaterAnnual!$J$17</definedName>
    <definedName name="solver_lhs4" localSheetId="7" hidden="1">ModelWaterMonthly!$S$3:$S$16</definedName>
    <definedName name="solver_lhs5" localSheetId="4" hidden="1">'ModelDemand (Hypothetical)'!$Q$3:$Q$16</definedName>
    <definedName name="solver_lhs5" localSheetId="3" hidden="1">ModelMonthly!$Q$3:$Q$16</definedName>
    <definedName name="solver_lhs5" localSheetId="2" hidden="1">ModelSeasons!$X$3:$X$16</definedName>
    <definedName name="solver_lhs5" localSheetId="5" hidden="1">ModelWaterAnnual!$S$3:$S$16</definedName>
    <definedName name="solver_lhs5" localSheetId="7" hidden="1">ModelWaterMonthly!$S$3:$S$16</definedName>
    <definedName name="solver_lhs6" localSheetId="4" hidden="1">'ModelDemand (Hypothetical)'!$Q$3:$Q$16</definedName>
    <definedName name="solver_lhs6" localSheetId="3" hidden="1">ModelMonthly!$Q$3:$Q$16</definedName>
    <definedName name="solver_lhs6" localSheetId="2" hidden="1">ModelSeasons!$X$3:$X$16</definedName>
    <definedName name="solver_lhs6" localSheetId="5" hidden="1">ModelWaterAnnual!$S$3:$S$16</definedName>
    <definedName name="solver_lhs6" localSheetId="7" hidden="1">ModelWaterMonthly!$R$3:$R$16</definedName>
    <definedName name="solver_lin" localSheetId="1" hidden="1">2</definedName>
    <definedName name="solver_lin" localSheetId="4" hidden="1">1</definedName>
    <definedName name="solver_lin" localSheetId="3" hidden="1">1</definedName>
    <definedName name="solver_lin" localSheetId="2" hidden="1">1</definedName>
    <definedName name="solver_lin" localSheetId="5" hidden="1">1</definedName>
    <definedName name="solver_lin" localSheetId="7" hidden="1">1</definedName>
    <definedName name="solver_mip" localSheetId="1" hidden="1">2147483647</definedName>
    <definedName name="solver_mip" localSheetId="4" hidden="1">2147483647</definedName>
    <definedName name="solver_mip" localSheetId="3" hidden="1">2147483647</definedName>
    <definedName name="solver_mip" localSheetId="2" hidden="1">2147483647</definedName>
    <definedName name="solver_mip" localSheetId="5" hidden="1">2147483647</definedName>
    <definedName name="solver_mip" localSheetId="7" hidden="1">2147483647</definedName>
    <definedName name="solver_mni" localSheetId="1" hidden="1">30</definedName>
    <definedName name="solver_mni" localSheetId="4" hidden="1">30</definedName>
    <definedName name="solver_mni" localSheetId="3" hidden="1">30</definedName>
    <definedName name="solver_mni" localSheetId="2" hidden="1">30</definedName>
    <definedName name="solver_mni" localSheetId="5" hidden="1">30</definedName>
    <definedName name="solver_mni" localSheetId="7" hidden="1">30</definedName>
    <definedName name="solver_mrt" localSheetId="1" hidden="1">0.075</definedName>
    <definedName name="solver_mrt" localSheetId="4" hidden="1">0.075</definedName>
    <definedName name="solver_mrt" localSheetId="3" hidden="1">0.075</definedName>
    <definedName name="solver_mrt" localSheetId="2" hidden="1">0.075</definedName>
    <definedName name="solver_mrt" localSheetId="5" hidden="1">0.075</definedName>
    <definedName name="solver_mrt" localSheetId="7" hidden="1">0.075</definedName>
    <definedName name="solver_msl" localSheetId="1" hidden="1">2</definedName>
    <definedName name="solver_msl" localSheetId="4" hidden="1">2</definedName>
    <definedName name="solver_msl" localSheetId="3" hidden="1">2</definedName>
    <definedName name="solver_msl" localSheetId="2" hidden="1">2</definedName>
    <definedName name="solver_msl" localSheetId="5" hidden="1">2</definedName>
    <definedName name="solver_msl" localSheetId="7" hidden="1">2</definedName>
    <definedName name="solver_neg" localSheetId="1" hidden="1">1</definedName>
    <definedName name="solver_neg" localSheetId="4" hidden="1">1</definedName>
    <definedName name="solver_neg" localSheetId="3" hidden="1">1</definedName>
    <definedName name="solver_neg" localSheetId="2" hidden="1">1</definedName>
    <definedName name="solver_neg" localSheetId="5" hidden="1">1</definedName>
    <definedName name="solver_neg" localSheetId="7" hidden="1">1</definedName>
    <definedName name="solver_nod" localSheetId="1" hidden="1">2147483647</definedName>
    <definedName name="solver_nod" localSheetId="4" hidden="1">2147483647</definedName>
    <definedName name="solver_nod" localSheetId="3" hidden="1">2147483647</definedName>
    <definedName name="solver_nod" localSheetId="2" hidden="1">2147483647</definedName>
    <definedName name="solver_nod" localSheetId="5" hidden="1">2147483647</definedName>
    <definedName name="solver_nod" localSheetId="7" hidden="1">2147483647</definedName>
    <definedName name="solver_num" localSheetId="1" hidden="1">2</definedName>
    <definedName name="solver_num" localSheetId="4" hidden="1">4</definedName>
    <definedName name="solver_num" localSheetId="3" hidden="1">3</definedName>
    <definedName name="solver_num" localSheetId="2" hidden="1">6</definedName>
    <definedName name="solver_num" localSheetId="5" hidden="1">3</definedName>
    <definedName name="solver_num" localSheetId="7" hidden="1">4</definedName>
    <definedName name="solver_opt" localSheetId="1" hidden="1">Model!$E$16</definedName>
    <definedName name="solver_opt" localSheetId="4" hidden="1">'ModelDemand (Hypothetical)'!$T$17</definedName>
    <definedName name="solver_opt" localSheetId="3" hidden="1">ModelMonthly!$S$17</definedName>
    <definedName name="solver_opt" localSheetId="2" hidden="1">ModelSeasons!$Z$17</definedName>
    <definedName name="solver_opt" localSheetId="5" hidden="1">ModelWaterAnnual!$V$17</definedName>
    <definedName name="solver_opt" localSheetId="7" hidden="1">ModelWaterMonthly!$U$19</definedName>
    <definedName name="solver_pre" localSheetId="1" hidden="1">0.000001</definedName>
    <definedName name="solver_pre" localSheetId="4" hidden="1">0.000001</definedName>
    <definedName name="solver_pre" localSheetId="3" hidden="1">0.000001</definedName>
    <definedName name="solver_pre" localSheetId="2" hidden="1">0.000001</definedName>
    <definedName name="solver_pre" localSheetId="5" hidden="1">0.000001</definedName>
    <definedName name="solver_pre" localSheetId="7" hidden="1">0.000001</definedName>
    <definedName name="solver_rbv" localSheetId="1" hidden="1">1</definedName>
    <definedName name="solver_rbv" localSheetId="4" hidden="1">1</definedName>
    <definedName name="solver_rbv" localSheetId="3" hidden="1">1</definedName>
    <definedName name="solver_rbv" localSheetId="2" hidden="1">1</definedName>
    <definedName name="solver_rbv" localSheetId="5" hidden="1">1</definedName>
    <definedName name="solver_rbv" localSheetId="7" hidden="1">1</definedName>
    <definedName name="solver_rel1" localSheetId="1" hidden="1">1</definedName>
    <definedName name="solver_rel1" localSheetId="4" hidden="1">1</definedName>
    <definedName name="solver_rel1" localSheetId="3" hidden="1">1</definedName>
    <definedName name="solver_rel1" localSheetId="2" hidden="1">1</definedName>
    <definedName name="solver_rel1" localSheetId="5" hidden="1">1</definedName>
    <definedName name="solver_rel1" localSheetId="7" hidden="1">1</definedName>
    <definedName name="solver_rel2" localSheetId="1" hidden="1">3</definedName>
    <definedName name="solver_rel2" localSheetId="4" hidden="1">4</definedName>
    <definedName name="solver_rel2" localSheetId="3" hidden="1">4</definedName>
    <definedName name="solver_rel2" localSheetId="2" hidden="1">1</definedName>
    <definedName name="solver_rel2" localSheetId="5" hidden="1">4</definedName>
    <definedName name="solver_rel2" localSheetId="7" hidden="1">4</definedName>
    <definedName name="solver_rel3" localSheetId="4" hidden="1">3</definedName>
    <definedName name="solver_rel3" localSheetId="3" hidden="1">3</definedName>
    <definedName name="solver_rel3" localSheetId="2" hidden="1">1</definedName>
    <definedName name="solver_rel3" localSheetId="5" hidden="1">3</definedName>
    <definedName name="solver_rel3" localSheetId="7" hidden="1">3</definedName>
    <definedName name="solver_rel4" localSheetId="4" hidden="1">1</definedName>
    <definedName name="solver_rel4" localSheetId="3" hidden="1">1</definedName>
    <definedName name="solver_rel4" localSheetId="2" hidden="1">1</definedName>
    <definedName name="solver_rel4" localSheetId="5" hidden="1">1</definedName>
    <definedName name="solver_rel4" localSheetId="7" hidden="1">1</definedName>
    <definedName name="solver_rel5" localSheetId="4" hidden="1">4</definedName>
    <definedName name="solver_rel5" localSheetId="3" hidden="1">4</definedName>
    <definedName name="solver_rel5" localSheetId="2" hidden="1">4</definedName>
    <definedName name="solver_rel5" localSheetId="5" hidden="1">4</definedName>
    <definedName name="solver_rel5" localSheetId="7" hidden="1">1</definedName>
    <definedName name="solver_rel6" localSheetId="4" hidden="1">3</definedName>
    <definedName name="solver_rel6" localSheetId="3" hidden="1">3</definedName>
    <definedName name="solver_rel6" localSheetId="2" hidden="1">3</definedName>
    <definedName name="solver_rel6" localSheetId="5" hidden="1">3</definedName>
    <definedName name="solver_rel6" localSheetId="7" hidden="1">3</definedName>
    <definedName name="solver_rhs1" localSheetId="1" hidden="1">Model!$B$18</definedName>
    <definedName name="solver_rhs1" localSheetId="4" hidden="1">'ModelDemand (Hypothetical)'!$B$18</definedName>
    <definedName name="solver_rhs1" localSheetId="3" hidden="1">ModelMonthly!$B$18</definedName>
    <definedName name="solver_rhs1" localSheetId="2" hidden="1">ModelSeasons!$Q$18</definedName>
    <definedName name="solver_rhs1" localSheetId="5" hidden="1">ModelWaterAnnual!$A$20</definedName>
    <definedName name="solver_rhs1" localSheetId="7" hidden="1">430</definedName>
    <definedName name="solver_rhs2" localSheetId="1" hidden="1">0</definedName>
    <definedName name="solver_rhs2" localSheetId="4" hidden="1">"integer"</definedName>
    <definedName name="solver_rhs2" localSheetId="3" hidden="1">"integer"</definedName>
    <definedName name="solver_rhs2" localSheetId="2" hidden="1">ModelSeasons!$Q$18</definedName>
    <definedName name="solver_rhs2" localSheetId="5" hidden="1">"integer"</definedName>
    <definedName name="solver_rhs2" localSheetId="7" hidden="1">"integer"</definedName>
    <definedName name="solver_rhs3" localSheetId="4" hidden="1">0</definedName>
    <definedName name="solver_rhs3" localSheetId="3" hidden="1">0</definedName>
    <definedName name="solver_rhs3" localSheetId="2" hidden="1">ModelSeasons!$Q$18</definedName>
    <definedName name="solver_rhs3" localSheetId="5" hidden="1">0</definedName>
    <definedName name="solver_rhs3" localSheetId="7" hidden="1">0</definedName>
    <definedName name="solver_rhs4" localSheetId="4" hidden="1">'ModelDemand (Hypothetical)'!$S$3:$S$16</definedName>
    <definedName name="solver_rhs4" localSheetId="3" hidden="1">ModelMonthly!$B$18</definedName>
    <definedName name="solver_rhs4" localSheetId="2" hidden="1">ModelSeasons!$Q$18</definedName>
    <definedName name="solver_rhs4" localSheetId="5" hidden="1">ModelWaterAnnual!$A$20</definedName>
    <definedName name="solver_rhs4" localSheetId="7" hidden="1">ModelWaterMonthly!$T$3:$T$16</definedName>
    <definedName name="solver_rhs5" localSheetId="4" hidden="1">"integer"</definedName>
    <definedName name="solver_rhs5" localSheetId="3" hidden="1">"integer"</definedName>
    <definedName name="solver_rhs5" localSheetId="2" hidden="1">"integer"</definedName>
    <definedName name="solver_rhs5" localSheetId="5" hidden="1">"integer"</definedName>
    <definedName name="solver_rhs5" localSheetId="7" hidden="1">ModelWaterMonthly!$T$3:$T$16</definedName>
    <definedName name="solver_rhs6" localSheetId="4" hidden="1">0</definedName>
    <definedName name="solver_rhs6" localSheetId="3" hidden="1">0</definedName>
    <definedName name="solver_rhs6" localSheetId="2" hidden="1">0</definedName>
    <definedName name="solver_rhs6" localSheetId="5" hidden="1">0</definedName>
    <definedName name="solver_rhs6" localSheetId="7" hidden="1">0</definedName>
    <definedName name="solver_rlx" localSheetId="1" hidden="1">2</definedName>
    <definedName name="solver_rlx" localSheetId="4" hidden="1">2</definedName>
    <definedName name="solver_rlx" localSheetId="3" hidden="1">2</definedName>
    <definedName name="solver_rlx" localSheetId="2" hidden="1">2</definedName>
    <definedName name="solver_rlx" localSheetId="5" hidden="1">2</definedName>
    <definedName name="solver_rlx" localSheetId="7" hidden="1">2</definedName>
    <definedName name="solver_rsd" localSheetId="1" hidden="1">0</definedName>
    <definedName name="solver_rsd" localSheetId="4" hidden="1">0</definedName>
    <definedName name="solver_rsd" localSheetId="3" hidden="1">0</definedName>
    <definedName name="solver_rsd" localSheetId="2" hidden="1">0</definedName>
    <definedName name="solver_rsd" localSheetId="5" hidden="1">0</definedName>
    <definedName name="solver_rsd" localSheetId="7" hidden="1">0</definedName>
    <definedName name="solver_scl" localSheetId="1" hidden="1">1</definedName>
    <definedName name="solver_scl" localSheetId="4" hidden="1">1</definedName>
    <definedName name="solver_scl" localSheetId="3" hidden="1">1</definedName>
    <definedName name="solver_scl" localSheetId="2" hidden="1">1</definedName>
    <definedName name="solver_scl" localSheetId="5" hidden="1">1</definedName>
    <definedName name="solver_scl" localSheetId="7" hidden="1">1</definedName>
    <definedName name="solver_sho" localSheetId="1" hidden="1">2</definedName>
    <definedName name="solver_sho" localSheetId="4" hidden="1">2</definedName>
    <definedName name="solver_sho" localSheetId="3" hidden="1">2</definedName>
    <definedName name="solver_sho" localSheetId="2" hidden="1">2</definedName>
    <definedName name="solver_sho" localSheetId="5" hidden="1">2</definedName>
    <definedName name="solver_sho" localSheetId="7" hidden="1">2</definedName>
    <definedName name="solver_ssz" localSheetId="1" hidden="1">100</definedName>
    <definedName name="solver_ssz" localSheetId="4" hidden="1">100</definedName>
    <definedName name="solver_ssz" localSheetId="3" hidden="1">100</definedName>
    <definedName name="solver_ssz" localSheetId="2" hidden="1">100</definedName>
    <definedName name="solver_ssz" localSheetId="5" hidden="1">100</definedName>
    <definedName name="solver_ssz" localSheetId="7" hidden="1">100</definedName>
    <definedName name="solver_tim" localSheetId="1" hidden="1">2147483647</definedName>
    <definedName name="solver_tim" localSheetId="4" hidden="1">2147483647</definedName>
    <definedName name="solver_tim" localSheetId="3" hidden="1">2147483647</definedName>
    <definedName name="solver_tim" localSheetId="2" hidden="1">2147483647</definedName>
    <definedName name="solver_tim" localSheetId="5" hidden="1">2147483647</definedName>
    <definedName name="solver_tim" localSheetId="7" hidden="1">2147483647</definedName>
    <definedName name="solver_tol" localSheetId="1" hidden="1">0.01</definedName>
    <definedName name="solver_tol" localSheetId="4" hidden="1">0.01</definedName>
    <definedName name="solver_tol" localSheetId="3" hidden="1">0.01</definedName>
    <definedName name="solver_tol" localSheetId="2" hidden="1">0.01</definedName>
    <definedName name="solver_tol" localSheetId="5" hidden="1">0.01</definedName>
    <definedName name="solver_tol" localSheetId="7" hidden="1">0.01</definedName>
    <definedName name="solver_typ" localSheetId="1" hidden="1">1</definedName>
    <definedName name="solver_typ" localSheetId="4" hidden="1">1</definedName>
    <definedName name="solver_typ" localSheetId="3" hidden="1">1</definedName>
    <definedName name="solver_typ" localSheetId="2" hidden="1">1</definedName>
    <definedName name="solver_typ" localSheetId="5" hidden="1">1</definedName>
    <definedName name="solver_typ" localSheetId="7" hidden="1">1</definedName>
    <definedName name="solver_val" localSheetId="1" hidden="1">0</definedName>
    <definedName name="solver_val" localSheetId="4" hidden="1">0</definedName>
    <definedName name="solver_val" localSheetId="3" hidden="1">0</definedName>
    <definedName name="solver_val" localSheetId="2" hidden="1">0</definedName>
    <definedName name="solver_val" localSheetId="5" hidden="1">0</definedName>
    <definedName name="solver_val" localSheetId="7" hidden="1">0</definedName>
    <definedName name="solver_ver" localSheetId="1" hidden="1">2</definedName>
    <definedName name="solver_ver" localSheetId="4" hidden="1">2</definedName>
    <definedName name="solver_ver" localSheetId="3" hidden="1">2</definedName>
    <definedName name="solver_ver" localSheetId="2" hidden="1">2</definedName>
    <definedName name="solver_ver" localSheetId="5" hidden="1">2</definedName>
    <definedName name="solver_ver" localSheetId="7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0" l="1"/>
  <c r="S16" i="11"/>
  <c r="U16" i="11" s="1"/>
  <c r="M16" i="11"/>
  <c r="L16" i="11"/>
  <c r="K16" i="11"/>
  <c r="J16" i="11"/>
  <c r="I16" i="11"/>
  <c r="H16" i="11"/>
  <c r="S15" i="11"/>
  <c r="U15" i="11" s="1"/>
  <c r="O15" i="11"/>
  <c r="N15" i="11"/>
  <c r="M15" i="11"/>
  <c r="S14" i="11"/>
  <c r="U14" i="11" s="1"/>
  <c r="K14" i="11"/>
  <c r="J14" i="11"/>
  <c r="I14" i="11"/>
  <c r="S13" i="11"/>
  <c r="U13" i="11" s="1"/>
  <c r="N13" i="11"/>
  <c r="M13" i="11"/>
  <c r="L13" i="11"/>
  <c r="K13" i="11"/>
  <c r="J13" i="11"/>
  <c r="S12" i="11"/>
  <c r="U12" i="11" s="1"/>
  <c r="M12" i="11"/>
  <c r="L12" i="11"/>
  <c r="K12" i="11"/>
  <c r="J12" i="11"/>
  <c r="I12" i="11"/>
  <c r="H12" i="11"/>
  <c r="S11" i="11"/>
  <c r="U11" i="11" s="1"/>
  <c r="N11" i="11"/>
  <c r="M11" i="11"/>
  <c r="L11" i="11"/>
  <c r="K11" i="11"/>
  <c r="J11" i="11"/>
  <c r="I11" i="11"/>
  <c r="S10" i="11"/>
  <c r="U10" i="11" s="1"/>
  <c r="N10" i="11"/>
  <c r="M10" i="11"/>
  <c r="L10" i="11"/>
  <c r="K10" i="11"/>
  <c r="J10" i="11"/>
  <c r="S9" i="11"/>
  <c r="U9" i="11" s="1"/>
  <c r="Q9" i="11"/>
  <c r="Q17" i="11" s="1"/>
  <c r="P9" i="11"/>
  <c r="O9" i="11"/>
  <c r="L9" i="11"/>
  <c r="K9" i="11"/>
  <c r="J9" i="11"/>
  <c r="I9" i="11"/>
  <c r="H9" i="11"/>
  <c r="G9" i="11"/>
  <c r="G17" i="11" s="1"/>
  <c r="F9" i="11"/>
  <c r="F17" i="11" s="1"/>
  <c r="S8" i="11"/>
  <c r="U8" i="11" s="1"/>
  <c r="L8" i="11"/>
  <c r="K8" i="11"/>
  <c r="J8" i="11"/>
  <c r="I8" i="11"/>
  <c r="S7" i="11"/>
  <c r="U7" i="11" s="1"/>
  <c r="O7" i="11"/>
  <c r="N7" i="11"/>
  <c r="M7" i="11"/>
  <c r="L7" i="11"/>
  <c r="K7" i="11"/>
  <c r="J7" i="11"/>
  <c r="I7" i="11"/>
  <c r="S6" i="11"/>
  <c r="U6" i="11" s="1"/>
  <c r="O6" i="11"/>
  <c r="N6" i="11"/>
  <c r="M6" i="11"/>
  <c r="L6" i="11"/>
  <c r="K6" i="11"/>
  <c r="J6" i="11"/>
  <c r="I6" i="11"/>
  <c r="S5" i="11"/>
  <c r="U5" i="11" s="1"/>
  <c r="N5" i="11"/>
  <c r="M5" i="11"/>
  <c r="L5" i="11"/>
  <c r="K5" i="11"/>
  <c r="J5" i="11"/>
  <c r="I5" i="11"/>
  <c r="S4" i="11"/>
  <c r="U4" i="11" s="1"/>
  <c r="P4" i="11"/>
  <c r="O4" i="11"/>
  <c r="N4" i="11"/>
  <c r="M4" i="11"/>
  <c r="L4" i="11"/>
  <c r="K4" i="11"/>
  <c r="J4" i="11"/>
  <c r="I4" i="11"/>
  <c r="S3" i="11"/>
  <c r="U3" i="11" s="1"/>
  <c r="M3" i="11"/>
  <c r="L3" i="11"/>
  <c r="K3" i="11"/>
  <c r="J3" i="11"/>
  <c r="I3" i="11"/>
  <c r="H3" i="11"/>
  <c r="U9" i="10"/>
  <c r="U14" i="10"/>
  <c r="I3" i="10"/>
  <c r="J3" i="10"/>
  <c r="K3" i="10"/>
  <c r="T16" i="10"/>
  <c r="V16" i="10" s="1"/>
  <c r="N16" i="10"/>
  <c r="M16" i="10"/>
  <c r="L16" i="10"/>
  <c r="K16" i="10"/>
  <c r="J16" i="10"/>
  <c r="I16" i="10"/>
  <c r="T15" i="10"/>
  <c r="V15" i="10" s="1"/>
  <c r="P15" i="10"/>
  <c r="O15" i="10"/>
  <c r="N15" i="10"/>
  <c r="T14" i="10"/>
  <c r="V14" i="10" s="1"/>
  <c r="L14" i="10"/>
  <c r="K14" i="10"/>
  <c r="J14" i="10"/>
  <c r="T13" i="10"/>
  <c r="V13" i="10" s="1"/>
  <c r="O13" i="10"/>
  <c r="N13" i="10"/>
  <c r="M13" i="10"/>
  <c r="L13" i="10"/>
  <c r="K13" i="10"/>
  <c r="T12" i="10"/>
  <c r="V12" i="10" s="1"/>
  <c r="N12" i="10"/>
  <c r="M12" i="10"/>
  <c r="L12" i="10"/>
  <c r="K12" i="10"/>
  <c r="J12" i="10"/>
  <c r="I12" i="10"/>
  <c r="T11" i="10"/>
  <c r="V11" i="10" s="1"/>
  <c r="O11" i="10"/>
  <c r="N11" i="10"/>
  <c r="M11" i="10"/>
  <c r="L11" i="10"/>
  <c r="K11" i="10"/>
  <c r="J11" i="10"/>
  <c r="T10" i="10"/>
  <c r="V10" i="10" s="1"/>
  <c r="O10" i="10"/>
  <c r="N10" i="10"/>
  <c r="M10" i="10"/>
  <c r="L10" i="10"/>
  <c r="K10" i="10"/>
  <c r="T9" i="10"/>
  <c r="V9" i="10" s="1"/>
  <c r="R9" i="10"/>
  <c r="R17" i="10" s="1"/>
  <c r="Q9" i="10"/>
  <c r="P9" i="10"/>
  <c r="M9" i="10"/>
  <c r="L9" i="10"/>
  <c r="K9" i="10"/>
  <c r="J9" i="10"/>
  <c r="I9" i="10"/>
  <c r="H9" i="10"/>
  <c r="H17" i="10" s="1"/>
  <c r="G9" i="10"/>
  <c r="G17" i="10" s="1"/>
  <c r="T8" i="10"/>
  <c r="V8" i="10" s="1"/>
  <c r="M8" i="10"/>
  <c r="L8" i="10"/>
  <c r="K8" i="10"/>
  <c r="J8" i="10"/>
  <c r="T7" i="10"/>
  <c r="V7" i="10" s="1"/>
  <c r="P7" i="10"/>
  <c r="O7" i="10"/>
  <c r="N7" i="10"/>
  <c r="M7" i="10"/>
  <c r="L7" i="10"/>
  <c r="K7" i="10"/>
  <c r="J7" i="10"/>
  <c r="T6" i="10"/>
  <c r="V6" i="10" s="1"/>
  <c r="P6" i="10"/>
  <c r="O6" i="10"/>
  <c r="N6" i="10"/>
  <c r="M6" i="10"/>
  <c r="L6" i="10"/>
  <c r="K6" i="10"/>
  <c r="J6" i="10"/>
  <c r="T5" i="10"/>
  <c r="V5" i="10" s="1"/>
  <c r="O5" i="10"/>
  <c r="N5" i="10"/>
  <c r="M5" i="10"/>
  <c r="L5" i="10"/>
  <c r="K5" i="10"/>
  <c r="J5" i="10"/>
  <c r="T4" i="10"/>
  <c r="V4" i="10" s="1"/>
  <c r="Q4" i="10"/>
  <c r="P4" i="10"/>
  <c r="O4" i="10"/>
  <c r="N4" i="10"/>
  <c r="M4" i="10"/>
  <c r="L4" i="10"/>
  <c r="K4" i="10"/>
  <c r="J4" i="10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3" i="9"/>
  <c r="R16" i="9"/>
  <c r="T16" i="9" s="1"/>
  <c r="L16" i="9"/>
  <c r="K16" i="9"/>
  <c r="J16" i="9"/>
  <c r="I16" i="9"/>
  <c r="H16" i="9"/>
  <c r="G16" i="9"/>
  <c r="R15" i="9"/>
  <c r="T15" i="9" s="1"/>
  <c r="N15" i="9"/>
  <c r="M15" i="9"/>
  <c r="L15" i="9"/>
  <c r="R14" i="9"/>
  <c r="T14" i="9" s="1"/>
  <c r="J14" i="9"/>
  <c r="I14" i="9"/>
  <c r="H14" i="9"/>
  <c r="R13" i="9"/>
  <c r="T13" i="9" s="1"/>
  <c r="M13" i="9"/>
  <c r="L13" i="9"/>
  <c r="K13" i="9"/>
  <c r="J13" i="9"/>
  <c r="I13" i="9"/>
  <c r="R12" i="9"/>
  <c r="T12" i="9" s="1"/>
  <c r="L12" i="9"/>
  <c r="K12" i="9"/>
  <c r="J12" i="9"/>
  <c r="I12" i="9"/>
  <c r="H12" i="9"/>
  <c r="G12" i="9"/>
  <c r="R11" i="9"/>
  <c r="T11" i="9" s="1"/>
  <c r="M11" i="9"/>
  <c r="L11" i="9"/>
  <c r="K11" i="9"/>
  <c r="J11" i="9"/>
  <c r="I11" i="9"/>
  <c r="H11" i="9"/>
  <c r="R10" i="9"/>
  <c r="T10" i="9" s="1"/>
  <c r="M10" i="9"/>
  <c r="L10" i="9"/>
  <c r="K10" i="9"/>
  <c r="J10" i="9"/>
  <c r="I10" i="9"/>
  <c r="R9" i="9"/>
  <c r="T9" i="9" s="1"/>
  <c r="P9" i="9"/>
  <c r="P17" i="9" s="1"/>
  <c r="O9" i="9"/>
  <c r="N9" i="9"/>
  <c r="K9" i="9"/>
  <c r="J9" i="9"/>
  <c r="I9" i="9"/>
  <c r="H9" i="9"/>
  <c r="G9" i="9"/>
  <c r="F9" i="9"/>
  <c r="F17" i="9" s="1"/>
  <c r="E9" i="9"/>
  <c r="E17" i="9" s="1"/>
  <c r="R8" i="9"/>
  <c r="T8" i="9" s="1"/>
  <c r="K8" i="9"/>
  <c r="J8" i="9"/>
  <c r="I8" i="9"/>
  <c r="H8" i="9"/>
  <c r="R7" i="9"/>
  <c r="T7" i="9" s="1"/>
  <c r="N7" i="9"/>
  <c r="M7" i="9"/>
  <c r="L7" i="9"/>
  <c r="K7" i="9"/>
  <c r="J7" i="9"/>
  <c r="I7" i="9"/>
  <c r="H7" i="9"/>
  <c r="R6" i="9"/>
  <c r="T6" i="9" s="1"/>
  <c r="N6" i="9"/>
  <c r="M6" i="9"/>
  <c r="L6" i="9"/>
  <c r="K6" i="9"/>
  <c r="J6" i="9"/>
  <c r="I6" i="9"/>
  <c r="H6" i="9"/>
  <c r="R5" i="9"/>
  <c r="T5" i="9" s="1"/>
  <c r="M5" i="9"/>
  <c r="L5" i="9"/>
  <c r="K5" i="9"/>
  <c r="J5" i="9"/>
  <c r="I5" i="9"/>
  <c r="H5" i="9"/>
  <c r="R4" i="9"/>
  <c r="T4" i="9" s="1"/>
  <c r="O4" i="9"/>
  <c r="N4" i="9"/>
  <c r="M4" i="9"/>
  <c r="L4" i="9"/>
  <c r="K4" i="9"/>
  <c r="J4" i="9"/>
  <c r="I4" i="9"/>
  <c r="H4" i="9"/>
  <c r="R3" i="9"/>
  <c r="T3" i="9" s="1"/>
  <c r="L3" i="9"/>
  <c r="K3" i="9"/>
  <c r="J3" i="9"/>
  <c r="I3" i="9"/>
  <c r="H3" i="9"/>
  <c r="G3" i="9"/>
  <c r="S10" i="8"/>
  <c r="S15" i="8"/>
  <c r="S3" i="8"/>
  <c r="R4" i="8"/>
  <c r="S4" i="8" s="1"/>
  <c r="R5" i="8"/>
  <c r="S5" i="8" s="1"/>
  <c r="R6" i="8"/>
  <c r="S6" i="8" s="1"/>
  <c r="R7" i="8"/>
  <c r="S7" i="8" s="1"/>
  <c r="R8" i="8"/>
  <c r="S8" i="8" s="1"/>
  <c r="R9" i="8"/>
  <c r="S9" i="8" s="1"/>
  <c r="R10" i="8"/>
  <c r="R11" i="8"/>
  <c r="S11" i="8" s="1"/>
  <c r="R13" i="8"/>
  <c r="S13" i="8" s="1"/>
  <c r="R14" i="8"/>
  <c r="S14" i="8" s="1"/>
  <c r="R15" i="8"/>
  <c r="R16" i="8"/>
  <c r="S16" i="8" s="1"/>
  <c r="R3" i="8"/>
  <c r="L16" i="8"/>
  <c r="K16" i="8"/>
  <c r="J16" i="8"/>
  <c r="I16" i="8"/>
  <c r="H16" i="8"/>
  <c r="G16" i="8"/>
  <c r="J14" i="8"/>
  <c r="I14" i="8"/>
  <c r="H14" i="8"/>
  <c r="L12" i="8"/>
  <c r="K12" i="8"/>
  <c r="J12" i="8"/>
  <c r="I12" i="8"/>
  <c r="H12" i="8"/>
  <c r="G12" i="8"/>
  <c r="M10" i="8"/>
  <c r="L10" i="8"/>
  <c r="K10" i="8"/>
  <c r="J10" i="8"/>
  <c r="I10" i="8"/>
  <c r="N15" i="8"/>
  <c r="M15" i="8"/>
  <c r="L15" i="8"/>
  <c r="M13" i="8"/>
  <c r="L13" i="8"/>
  <c r="K13" i="8"/>
  <c r="J13" i="8"/>
  <c r="I13" i="8"/>
  <c r="M11" i="8"/>
  <c r="L11" i="8"/>
  <c r="K11" i="8"/>
  <c r="J11" i="8"/>
  <c r="I11" i="8"/>
  <c r="H11" i="8"/>
  <c r="P9" i="8"/>
  <c r="O9" i="8"/>
  <c r="N9" i="8"/>
  <c r="F9" i="8"/>
  <c r="G9" i="8"/>
  <c r="H9" i="8"/>
  <c r="I9" i="8"/>
  <c r="J9" i="8"/>
  <c r="K9" i="8"/>
  <c r="E9" i="8"/>
  <c r="K8" i="8"/>
  <c r="J8" i="8"/>
  <c r="I8" i="8"/>
  <c r="H8" i="8"/>
  <c r="I7" i="8"/>
  <c r="J7" i="8"/>
  <c r="K7" i="8"/>
  <c r="L7" i="8"/>
  <c r="M7" i="8"/>
  <c r="N7" i="8"/>
  <c r="H7" i="8"/>
  <c r="I6" i="8"/>
  <c r="J6" i="8"/>
  <c r="K6" i="8"/>
  <c r="L6" i="8"/>
  <c r="M6" i="8"/>
  <c r="N6" i="8"/>
  <c r="H6" i="8"/>
  <c r="I5" i="8"/>
  <c r="J5" i="8"/>
  <c r="K5" i="8"/>
  <c r="L5" i="8"/>
  <c r="M5" i="8"/>
  <c r="H17" i="11" l="1"/>
  <c r="L17" i="11"/>
  <c r="P17" i="11"/>
  <c r="N17" i="11"/>
  <c r="O17" i="11"/>
  <c r="I17" i="11"/>
  <c r="M17" i="11"/>
  <c r="U17" i="11"/>
  <c r="K17" i="11"/>
  <c r="J17" i="11"/>
  <c r="J19" i="11"/>
  <c r="J20" i="11" s="1"/>
  <c r="Q19" i="11"/>
  <c r="Q20" i="11" s="1"/>
  <c r="I19" i="11"/>
  <c r="I20" i="11" s="1"/>
  <c r="P19" i="11"/>
  <c r="P20" i="11" s="1"/>
  <c r="L19" i="11"/>
  <c r="L20" i="11" s="1"/>
  <c r="H19" i="11"/>
  <c r="H20" i="11" s="1"/>
  <c r="N19" i="11"/>
  <c r="N20" i="11" s="1"/>
  <c r="M19" i="11"/>
  <c r="M20" i="11" s="1"/>
  <c r="O19" i="11"/>
  <c r="O20" i="11" s="1"/>
  <c r="K19" i="11"/>
  <c r="K20" i="11" s="1"/>
  <c r="G19" i="11"/>
  <c r="G20" i="11" s="1"/>
  <c r="F19" i="11"/>
  <c r="F20" i="11" s="1"/>
  <c r="F21" i="11" s="1"/>
  <c r="U4" i="10"/>
  <c r="U6" i="10"/>
  <c r="U7" i="10"/>
  <c r="U5" i="10"/>
  <c r="U16" i="10"/>
  <c r="U15" i="10"/>
  <c r="U13" i="10"/>
  <c r="U12" i="10"/>
  <c r="U11" i="10"/>
  <c r="U8" i="10"/>
  <c r="U10" i="10"/>
  <c r="J17" i="10"/>
  <c r="Q17" i="10"/>
  <c r="K17" i="10"/>
  <c r="I17" i="10"/>
  <c r="O17" i="10"/>
  <c r="P17" i="10"/>
  <c r="G17" i="9"/>
  <c r="K17" i="9"/>
  <c r="J17" i="9"/>
  <c r="H17" i="9"/>
  <c r="L17" i="9"/>
  <c r="N17" i="9"/>
  <c r="M17" i="9"/>
  <c r="I17" i="9"/>
  <c r="T17" i="9"/>
  <c r="O17" i="9"/>
  <c r="H5" i="8"/>
  <c r="I4" i="8"/>
  <c r="J4" i="8"/>
  <c r="K4" i="8"/>
  <c r="L4" i="8"/>
  <c r="M4" i="8"/>
  <c r="M17" i="8" s="1"/>
  <c r="N4" i="8"/>
  <c r="N17" i="8" s="1"/>
  <c r="O4" i="8"/>
  <c r="O17" i="8" s="1"/>
  <c r="H4" i="8"/>
  <c r="H3" i="8"/>
  <c r="I3" i="8"/>
  <c r="J3" i="8"/>
  <c r="K3" i="8"/>
  <c r="L3" i="8"/>
  <c r="G3" i="8"/>
  <c r="G17" i="8" s="1"/>
  <c r="P17" i="8"/>
  <c r="R12" i="8"/>
  <c r="S12" i="8" s="1"/>
  <c r="E17" i="8"/>
  <c r="F17" i="8"/>
  <c r="T9" i="4"/>
  <c r="W9" i="4"/>
  <c r="W17" i="4" s="1"/>
  <c r="V8" i="4"/>
  <c r="V7" i="4"/>
  <c r="V6" i="4"/>
  <c r="V5" i="4"/>
  <c r="V4" i="4"/>
  <c r="V3" i="4"/>
  <c r="V13" i="4"/>
  <c r="V12" i="4"/>
  <c r="V11" i="4"/>
  <c r="V10" i="4"/>
  <c r="V15" i="4"/>
  <c r="V16" i="4"/>
  <c r="U16" i="4"/>
  <c r="U4" i="4"/>
  <c r="U5" i="4"/>
  <c r="U6" i="4"/>
  <c r="U7" i="4"/>
  <c r="Y7" i="4" s="1"/>
  <c r="Z7" i="4" s="1"/>
  <c r="U8" i="4"/>
  <c r="U9" i="4"/>
  <c r="U10" i="4"/>
  <c r="U11" i="4"/>
  <c r="U12" i="4"/>
  <c r="U13" i="4"/>
  <c r="U14" i="4"/>
  <c r="U3" i="4"/>
  <c r="Y13" i="4"/>
  <c r="Z13" i="4" s="1"/>
  <c r="Y12" i="4"/>
  <c r="Z12" i="4" s="1"/>
  <c r="Y11" i="4"/>
  <c r="Z11" i="4" s="1"/>
  <c r="Y10" i="4"/>
  <c r="Z10" i="4" s="1"/>
  <c r="Y5" i="4"/>
  <c r="Z5" i="4" s="1"/>
  <c r="Y4" i="4"/>
  <c r="Z4" i="4" s="1"/>
  <c r="Y6" i="4"/>
  <c r="Z6" i="4" s="1"/>
  <c r="Y8" i="4"/>
  <c r="Z8" i="4" s="1"/>
  <c r="Y14" i="4"/>
  <c r="Z14" i="4" s="1"/>
  <c r="Y15" i="4"/>
  <c r="Z15" i="4" s="1"/>
  <c r="Y16" i="4"/>
  <c r="Z16" i="4" s="1"/>
  <c r="D16" i="3"/>
  <c r="E4" i="3"/>
  <c r="E5" i="3"/>
  <c r="E6" i="3"/>
  <c r="E7" i="3"/>
  <c r="E8" i="3"/>
  <c r="E9" i="3"/>
  <c r="E10" i="3"/>
  <c r="E11" i="3"/>
  <c r="E12" i="3"/>
  <c r="E13" i="3"/>
  <c r="E14" i="3"/>
  <c r="E15" i="3"/>
  <c r="E3" i="3"/>
  <c r="K11" i="1"/>
  <c r="K10" i="1"/>
  <c r="K7" i="1"/>
  <c r="K6" i="1"/>
  <c r="C4" i="1"/>
  <c r="C7" i="1"/>
  <c r="C8" i="1"/>
  <c r="B12" i="1"/>
  <c r="C2" i="1" s="1"/>
  <c r="D2" i="1" s="1"/>
  <c r="H21" i="11" l="1"/>
  <c r="I21" i="11"/>
  <c r="K21" i="11"/>
  <c r="O21" i="11"/>
  <c r="N21" i="11"/>
  <c r="G21" i="11"/>
  <c r="M21" i="11"/>
  <c r="P21" i="11"/>
  <c r="J21" i="11"/>
  <c r="L21" i="11"/>
  <c r="Q21" i="11"/>
  <c r="J17" i="8"/>
  <c r="L17" i="8"/>
  <c r="K17" i="8"/>
  <c r="I17" i="8"/>
  <c r="H17" i="8"/>
  <c r="S17" i="8"/>
  <c r="T17" i="4"/>
  <c r="Y9" i="4"/>
  <c r="Z9" i="4" s="1"/>
  <c r="C6" i="1"/>
  <c r="C3" i="1"/>
  <c r="C5" i="1"/>
  <c r="E16" i="3"/>
  <c r="C9" i="1"/>
  <c r="C11" i="1"/>
  <c r="C10" i="1"/>
  <c r="D3" i="1"/>
  <c r="D4" i="1" s="1"/>
  <c r="D5" i="1" s="1"/>
  <c r="D6" i="1" s="1"/>
  <c r="D7" i="1" s="1"/>
  <c r="D8" i="1" s="1"/>
  <c r="D9" i="1" s="1"/>
  <c r="D10" i="1" s="1"/>
  <c r="D11" i="1" s="1"/>
  <c r="U18" i="11" l="1"/>
  <c r="U19" i="11" s="1"/>
  <c r="Y3" i="4"/>
  <c r="Z3" i="4" s="1"/>
  <c r="Z17" i="4" s="1"/>
  <c r="U17" i="4"/>
  <c r="V17" i="4" l="1"/>
  <c r="T3" i="10"/>
  <c r="V3" i="10" s="1"/>
  <c r="V17" i="10" s="1"/>
  <c r="M3" i="10"/>
  <c r="M17" i="10" s="1"/>
  <c r="N3" i="10"/>
  <c r="N17" i="10" s="1"/>
  <c r="L3" i="10"/>
  <c r="L17" i="10"/>
</calcChain>
</file>

<file path=xl/sharedStrings.xml><?xml version="1.0" encoding="utf-8"?>
<sst xmlns="http://schemas.openxmlformats.org/spreadsheetml/2006/main" count="521" uniqueCount="241">
  <si>
    <t>1-9</t>
  </si>
  <si>
    <t>10-19</t>
  </si>
  <si>
    <t>500-999</t>
  </si>
  <si>
    <t>1000-1999</t>
  </si>
  <si>
    <t>2000+</t>
  </si>
  <si>
    <t>% of Farms</t>
  </si>
  <si>
    <t>Cum %</t>
  </si>
  <si>
    <t>Size of Farm</t>
  </si>
  <si>
    <t>Farms</t>
  </si>
  <si>
    <t>20-29</t>
  </si>
  <si>
    <t>30-49</t>
  </si>
  <si>
    <t>50-99</t>
  </si>
  <si>
    <t>100-199</t>
  </si>
  <si>
    <t>200-499</t>
  </si>
  <si>
    <t>total cropland</t>
  </si>
  <si>
    <t>farms</t>
  </si>
  <si>
    <t>acres</t>
  </si>
  <si>
    <t>Harvested crop land</t>
  </si>
  <si>
    <t>% of total</t>
  </si>
  <si>
    <t>Land in Farms</t>
  </si>
  <si>
    <t>Crop</t>
  </si>
  <si>
    <t>Yield (y) CWT / acre</t>
  </si>
  <si>
    <t>Profit (p) $ / CWT</t>
  </si>
  <si>
    <t>Beans, Snap</t>
  </si>
  <si>
    <t>Onions, Dry</t>
  </si>
  <si>
    <t>Peas, Green</t>
  </si>
  <si>
    <t>Potatoes</t>
  </si>
  <si>
    <t>Squash</t>
  </si>
  <si>
    <t>Corn, Sweet</t>
  </si>
  <si>
    <t>Hay, (excl alfalfa)</t>
  </si>
  <si>
    <t>Hay, Alfalfa</t>
  </si>
  <si>
    <t>Corn, Grain</t>
  </si>
  <si>
    <t>Wheat, Winter</t>
  </si>
  <si>
    <t>Wheat, Spring</t>
  </si>
  <si>
    <t>Hops</t>
  </si>
  <si>
    <t>Barley</t>
  </si>
  <si>
    <t>Acres Harvested</t>
  </si>
  <si>
    <t>Profit</t>
  </si>
  <si>
    <t>Total Available Acreage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</si>
  <si>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</si>
  <si>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</si>
  <si>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</si>
  <si>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</si>
  <si>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</si>
  <si>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</si>
  <si>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</si>
  <si>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</si>
  <si>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</si>
  <si>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</si>
  <si>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</si>
  <si>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</si>
  <si>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Onions</t>
  </si>
  <si>
    <t>CROP</t>
  </si>
  <si>
    <t>Alfalfa</t>
  </si>
  <si>
    <t>Hay</t>
  </si>
  <si>
    <t>Potato</t>
  </si>
  <si>
    <t>Beans</t>
  </si>
  <si>
    <t>Corn, Sweer</t>
  </si>
  <si>
    <t>Corn, grain</t>
  </si>
  <si>
    <t>Green Peas 1</t>
  </si>
  <si>
    <t>Green Peas 2</t>
  </si>
  <si>
    <t>Variable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</si>
  <si>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</si>
  <si>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</si>
  <si>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</si>
  <si>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</si>
  <si>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</si>
  <si>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</si>
  <si>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</si>
  <si>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</si>
  <si>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</si>
  <si>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</si>
  <si>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</si>
  <si>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</si>
  <si>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</si>
  <si>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Spring</t>
  </si>
  <si>
    <t>Winter</t>
  </si>
  <si>
    <t>Summer</t>
  </si>
  <si>
    <t>Fall</t>
  </si>
  <si>
    <t>Peas, Green 1</t>
  </si>
  <si>
    <t>Peas, Green 2</t>
  </si>
  <si>
    <t>x14</t>
  </si>
  <si>
    <t>x1,1 + x1,2 = x1</t>
  </si>
  <si>
    <t>multi period crops ???</t>
  </si>
  <si>
    <t>Yield (y)</t>
  </si>
  <si>
    <t>Total Profit</t>
  </si>
  <si>
    <t>Winter Acres</t>
  </si>
  <si>
    <t>Spring Acres</t>
  </si>
  <si>
    <t>Summer Acres</t>
  </si>
  <si>
    <t>Fall Acres</t>
  </si>
  <si>
    <t>Acres Plant</t>
  </si>
  <si>
    <t>Total Yield</t>
  </si>
  <si>
    <t>Farm Size</t>
  </si>
  <si>
    <t>Price (p)</t>
  </si>
  <si>
    <t>Demand</t>
  </si>
  <si>
    <t>Revenue</t>
  </si>
  <si>
    <t>^where demand is only 50 acres worth of crop x</t>
  </si>
  <si>
    <t>Water Demand</t>
  </si>
  <si>
    <t>Water Demand (w)</t>
  </si>
  <si>
    <t>Cost of Irrigation</t>
  </si>
  <si>
    <t>Expected  Rainfall / acre</t>
  </si>
  <si>
    <t>Acre Usage</t>
  </si>
  <si>
    <t>Expected Rainfall</t>
  </si>
  <si>
    <t>water demanded for active time</t>
  </si>
  <si>
    <t>water use/acre * (acres * active months (count of non zero values))</t>
  </si>
  <si>
    <t>water demand per acre</t>
  </si>
  <si>
    <t>total acres</t>
  </si>
  <si>
    <t>total water demand =</t>
  </si>
  <si>
    <t>acres it occupys for # of months</t>
  </si>
  <si>
    <t>Growth Period</t>
  </si>
  <si>
    <t>if it exceeds annual rainfal , how much does it exceed</t>
  </si>
  <si>
    <t xml:space="preserve">water cost = </t>
  </si>
  <si>
    <t>(rainfall - usafe) * price of water</t>
  </si>
  <si>
    <t>If we want to use annual rainfall and have flat rain distribution</t>
  </si>
  <si>
    <t>w for growtth period</t>
  </si>
  <si>
    <t>Irrigation</t>
  </si>
  <si>
    <t>Irr. Cost</t>
  </si>
  <si>
    <t>Irr Cost</t>
  </si>
  <si>
    <t>Microsoft Excel 16.89 Linearity Report</t>
  </si>
  <si>
    <t>Worksheet: [Model.xlsx]ModelWaterMonthly</t>
  </si>
  <si>
    <t>Objective Cell (Max)</t>
  </si>
  <si>
    <t>Cell</t>
  </si>
  <si>
    <t>Name</t>
  </si>
  <si>
    <t>Original Value</t>
  </si>
  <si>
    <t>Final Value</t>
  </si>
  <si>
    <t>Linear Function</t>
  </si>
  <si>
    <t>Variable Cells</t>
  </si>
  <si>
    <t>Occurs Linearly</t>
  </si>
  <si>
    <t>Constraints</t>
  </si>
  <si>
    <t>Cell Value</t>
  </si>
  <si>
    <t>Formula</t>
  </si>
  <si>
    <t>$U$19</t>
  </si>
  <si>
    <t>Water Demand Revenue</t>
  </si>
  <si>
    <t>$R$3</t>
  </si>
  <si>
    <t>x1 Acres Plant</t>
  </si>
  <si>
    <t>Yes</t>
  </si>
  <si>
    <t>$R$4</t>
  </si>
  <si>
    <t>x2 Acres Plant</t>
  </si>
  <si>
    <t>$R$5</t>
  </si>
  <si>
    <t>x3 Acres Plant</t>
  </si>
  <si>
    <t>$R$6</t>
  </si>
  <si>
    <t>x4 Acres Plant</t>
  </si>
  <si>
    <t>$R$7</t>
  </si>
  <si>
    <t>x5 Acres Plant</t>
  </si>
  <si>
    <t>$R$8</t>
  </si>
  <si>
    <t>x6 Acres Plant</t>
  </si>
  <si>
    <t>$R$9</t>
  </si>
  <si>
    <t>x7 Acres Plant</t>
  </si>
  <si>
    <t>$R$10</t>
  </si>
  <si>
    <t>x8 Acres Plant</t>
  </si>
  <si>
    <t>$R$11</t>
  </si>
  <si>
    <t>x9 Acres Plant</t>
  </si>
  <si>
    <t>$R$12</t>
  </si>
  <si>
    <t>x10 Acres Plant</t>
  </si>
  <si>
    <t>$R$13</t>
  </si>
  <si>
    <t>x11 Acres Plant</t>
  </si>
  <si>
    <t>$R$14</t>
  </si>
  <si>
    <t>x12 Acres Plant</t>
  </si>
  <si>
    <t>$R$15</t>
  </si>
  <si>
    <t>x13 Acres Plant</t>
  </si>
  <si>
    <t>$R$16</t>
  </si>
  <si>
    <t>x14 Acres Plant</t>
  </si>
  <si>
    <t>$F$17</t>
  </si>
  <si>
    <t>Acre Usage Jan</t>
  </si>
  <si>
    <t>$G$17</t>
  </si>
  <si>
    <t>Acre Usage Feb</t>
  </si>
  <si>
    <t>$H$17</t>
  </si>
  <si>
    <t>Acre Usage Mar</t>
  </si>
  <si>
    <t>$I$17</t>
  </si>
  <si>
    <t>Acre Usage Apr</t>
  </si>
  <si>
    <t>$J$17</t>
  </si>
  <si>
    <t>Acre Usage May</t>
  </si>
  <si>
    <t>$K$17</t>
  </si>
  <si>
    <t>Acre Usage Jun</t>
  </si>
  <si>
    <t>$L$17</t>
  </si>
  <si>
    <t>Acre Usage Jul</t>
  </si>
  <si>
    <t>$M$17</t>
  </si>
  <si>
    <t>Acre Usage Aug</t>
  </si>
  <si>
    <t>$N$17</t>
  </si>
  <si>
    <t>Acre Usage Sep</t>
  </si>
  <si>
    <t>$O$17</t>
  </si>
  <si>
    <t>Acre Usage Oct</t>
  </si>
  <si>
    <t>$P$17</t>
  </si>
  <si>
    <t>Acre Usage Nov</t>
  </si>
  <si>
    <t>$Q$17</t>
  </si>
  <si>
    <t>Acre Usage Dec</t>
  </si>
  <si>
    <t>$S$3</t>
  </si>
  <si>
    <t>x1 Total Yield</t>
  </si>
  <si>
    <t>$S$3&lt;=$T$3</t>
  </si>
  <si>
    <t>$S$4</t>
  </si>
  <si>
    <t>x2 Total Yield</t>
  </si>
  <si>
    <t>$S$4&lt;=$T$4</t>
  </si>
  <si>
    <t>$S$5</t>
  </si>
  <si>
    <t>x3 Total Yield</t>
  </si>
  <si>
    <t>$S$5&lt;=$T$5</t>
  </si>
  <si>
    <t>$S$6</t>
  </si>
  <si>
    <t>x4 Total Yield</t>
  </si>
  <si>
    <t>$S$6&lt;=$T$6</t>
  </si>
  <si>
    <t>$S$7</t>
  </si>
  <si>
    <t>x5 Total Yield</t>
  </si>
  <si>
    <t>$S$7&lt;=$T$7</t>
  </si>
  <si>
    <t>$S$8</t>
  </si>
  <si>
    <t>x6 Total Yield</t>
  </si>
  <si>
    <t>$S$8&lt;=$T$8</t>
  </si>
  <si>
    <t>$S$9</t>
  </si>
  <si>
    <t>x7 Total Yield</t>
  </si>
  <si>
    <t>$S$9&lt;=$T$9</t>
  </si>
  <si>
    <t>$S$10</t>
  </si>
  <si>
    <t>x8 Total Yield</t>
  </si>
  <si>
    <t>$S$10&lt;=$T$10</t>
  </si>
  <si>
    <t>$S$11</t>
  </si>
  <si>
    <t>x9 Total Yield</t>
  </si>
  <si>
    <t>$S$11&lt;=$T$11</t>
  </si>
  <si>
    <t>$S$12</t>
  </si>
  <si>
    <t>x10 Total Yield</t>
  </si>
  <si>
    <t>$S$12&lt;=$T$12</t>
  </si>
  <si>
    <t>$S$13</t>
  </si>
  <si>
    <t>x11 Total Yield</t>
  </si>
  <si>
    <t>$S$13&lt;=$T$13</t>
  </si>
  <si>
    <t>$S$14</t>
  </si>
  <si>
    <t>x12 Total Yield</t>
  </si>
  <si>
    <t>$S$14&lt;=$T$14</t>
  </si>
  <si>
    <t>$S$15</t>
  </si>
  <si>
    <t>x13 Total Yield</t>
  </si>
  <si>
    <t>$S$15&lt;=$T$15</t>
  </si>
  <si>
    <t>$S$16</t>
  </si>
  <si>
    <t>x14 Total Yield</t>
  </si>
  <si>
    <t>$S$16&lt;=$T$16</t>
  </si>
  <si>
    <t>Report Created: 5/20/25 11:47:43 AM</t>
  </si>
  <si>
    <t>$F$17&lt;=430</t>
  </si>
  <si>
    <t>$G$17&lt;=430</t>
  </si>
  <si>
    <t>$H$17&lt;=430</t>
  </si>
  <si>
    <t>$I$17&lt;=430</t>
  </si>
  <si>
    <t>$J$17&lt;=430</t>
  </si>
  <si>
    <t>$K$17&lt;=430</t>
  </si>
  <si>
    <t>$L$17&lt;=430</t>
  </si>
  <si>
    <t>$M$17&lt;=430</t>
  </si>
  <si>
    <t>$N$17&lt;=430</t>
  </si>
  <si>
    <t>$O$17&lt;=430</t>
  </si>
  <si>
    <t>$P$17&lt;=430</t>
  </si>
  <si>
    <t>$Q$17&lt;=430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</si>
</sst>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%"/>
    <numFmt numFmtId="165" formatCode="0.0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FFFF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8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1"/>
      <name val="Aptos Narrow"/>
      <scheme val="minor"/>
    </font>
    <font>
      <b/>
      <sz val="12"/>
      <color indexed="18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49" fontId="0" fillId="0" borderId="0" xfId="0" applyNumberFormat="1"/>
    <xf numFmtId="164" fontId="0" fillId="0" borderId="0" xfId="2" applyNumberFormat="1" applyFont="1"/>
    <xf numFmtId="164" fontId="0" fillId="0" borderId="0" xfId="0" applyNumberFormat="1"/>
    <xf numFmtId="2" fontId="0" fillId="0" borderId="0" xfId="0" applyNumberFormat="1"/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0" xfId="0" applyFont="1" applyFill="1"/>
    <xf numFmtId="44" fontId="4" fillId="0" borderId="0" xfId="1" applyFont="1"/>
    <xf numFmtId="0" fontId="4" fillId="3" borderId="2" xfId="0" applyFont="1" applyFill="1" applyBorder="1"/>
    <xf numFmtId="44" fontId="4" fillId="0" borderId="2" xfId="1" applyFont="1" applyBorder="1"/>
    <xf numFmtId="0" fontId="0" fillId="4" borderId="0" xfId="0" applyFill="1"/>
    <xf numFmtId="44" fontId="0" fillId="4" borderId="0" xfId="0" applyNumberFormat="1" applyFill="1"/>
    <xf numFmtId="0" fontId="3" fillId="0" borderId="0" xfId="0" applyFont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0" fillId="0" borderId="4" xfId="0" applyBorder="1"/>
    <xf numFmtId="0" fontId="6" fillId="5" borderId="4" xfId="0" applyFont="1" applyFill="1" applyBorder="1" applyAlignment="1">
      <alignment vertical="center" wrapText="1"/>
    </xf>
    <xf numFmtId="0" fontId="0" fillId="0" borderId="6" xfId="0" applyBorder="1"/>
    <xf numFmtId="0" fontId="5" fillId="0" borderId="6" xfId="0" applyFont="1" applyBorder="1" applyAlignment="1">
      <alignment vertical="center" wrapText="1"/>
    </xf>
    <xf numFmtId="0" fontId="6" fillId="5" borderId="6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vertical="center" wrapText="1"/>
    </xf>
    <xf numFmtId="0" fontId="6" fillId="6" borderId="6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5" borderId="7" xfId="0" applyFont="1" applyFill="1" applyBorder="1" applyAlignment="1">
      <alignment vertical="center" wrapText="1"/>
    </xf>
    <xf numFmtId="0" fontId="6" fillId="6" borderId="7" xfId="0" applyFont="1" applyFill="1" applyBorder="1" applyAlignment="1">
      <alignment vertical="center" wrapText="1"/>
    </xf>
    <xf numFmtId="0" fontId="6" fillId="5" borderId="7" xfId="0" applyFont="1" applyFill="1" applyBorder="1" applyAlignment="1">
      <alignment vertical="center" wrapText="1"/>
    </xf>
    <xf numFmtId="0" fontId="6" fillId="6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0" fillId="7" borderId="0" xfId="0" applyFill="1"/>
    <xf numFmtId="0" fontId="0" fillId="8" borderId="0" xfId="0" applyFill="1"/>
    <xf numFmtId="0" fontId="5" fillId="9" borderId="6" xfId="0" applyFont="1" applyFill="1" applyBorder="1" applyAlignment="1">
      <alignment vertical="center" wrapText="1"/>
    </xf>
    <xf numFmtId="0" fontId="6" fillId="9" borderId="6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5" fillId="9" borderId="7" xfId="0" applyFont="1" applyFill="1" applyBorder="1" applyAlignment="1">
      <alignment vertical="center" wrapText="1"/>
    </xf>
    <xf numFmtId="0" fontId="6" fillId="9" borderId="7" xfId="0" applyFont="1" applyFill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10" borderId="0" xfId="0" applyFill="1"/>
    <xf numFmtId="0" fontId="9" fillId="11" borderId="0" xfId="0" applyFont="1" applyFill="1" applyAlignment="1">
      <alignment vertical="center" wrapText="1"/>
    </xf>
    <xf numFmtId="0" fontId="8" fillId="11" borderId="0" xfId="0" applyFont="1" applyFill="1" applyAlignment="1">
      <alignment horizontal="center"/>
    </xf>
    <xf numFmtId="44" fontId="0" fillId="0" borderId="0" xfId="1" applyFont="1"/>
    <xf numFmtId="44" fontId="8" fillId="12" borderId="0" xfId="1" applyFont="1" applyFill="1"/>
    <xf numFmtId="0" fontId="4" fillId="8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7" borderId="0" xfId="0" applyFont="1" applyFill="1" applyAlignment="1">
      <alignment horizontal="center"/>
    </xf>
    <xf numFmtId="0" fontId="3" fillId="1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10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14" borderId="0" xfId="0" applyFill="1"/>
    <xf numFmtId="0" fontId="0" fillId="0" borderId="0" xfId="0" applyAlignment="1">
      <alignment wrapText="1"/>
    </xf>
    <xf numFmtId="0" fontId="8" fillId="11" borderId="0" xfId="0" applyFont="1" applyFill="1"/>
    <xf numFmtId="165" fontId="3" fillId="0" borderId="0" xfId="0" applyNumberFormat="1" applyFont="1" applyAlignment="1">
      <alignment vertical="center" wrapText="1"/>
    </xf>
    <xf numFmtId="44" fontId="8" fillId="11" borderId="0" xfId="1" applyFont="1" applyFill="1"/>
    <xf numFmtId="44" fontId="0" fillId="0" borderId="0" xfId="1" applyFont="1" applyBorder="1"/>
    <xf numFmtId="44" fontId="8" fillId="15" borderId="2" xfId="1" applyFont="1" applyFill="1" applyBorder="1"/>
    <xf numFmtId="44" fontId="8" fillId="12" borderId="8" xfId="1" applyFont="1" applyFill="1" applyBorder="1"/>
    <xf numFmtId="44" fontId="0" fillId="16" borderId="0" xfId="0" applyNumberFormat="1" applyFill="1"/>
    <xf numFmtId="0" fontId="0" fillId="0" borderId="9" xfId="0" applyBorder="1" applyAlignment="1">
      <alignment wrapText="1"/>
    </xf>
    <xf numFmtId="0" fontId="0" fillId="0" borderId="9" xfId="0" applyBorder="1"/>
    <xf numFmtId="0" fontId="4" fillId="0" borderId="9" xfId="0" applyFont="1" applyBorder="1" applyAlignment="1">
      <alignment horizontal="center" vertical="center" wrapText="1"/>
    </xf>
    <xf numFmtId="0" fontId="3" fillId="13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44" fontId="1" fillId="0" borderId="0" xfId="1" applyFont="1" applyAlignment="1">
      <alignment textRotation="180"/>
    </xf>
    <xf numFmtId="0" fontId="0" fillId="17" borderId="0" xfId="0" applyFill="1"/>
    <xf numFmtId="0" fontId="10" fillId="0" borderId="0" xfId="0" applyFont="1"/>
    <xf numFmtId="0" fontId="0" fillId="0" borderId="11" xfId="0" applyBorder="1"/>
    <xf numFmtId="0" fontId="11" fillId="0" borderId="10" xfId="0" applyFont="1" applyBorder="1" applyAlignment="1">
      <alignment horizontal="center"/>
    </xf>
    <xf numFmtId="0" fontId="0" fillId="0" borderId="12" xfId="0" applyBorder="1"/>
    <xf numFmtId="44" fontId="0" fillId="0" borderId="11" xfId="0" applyNumberForma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Farms by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Farms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Farm Calculation'!$A$2:$A$11</c:f>
              <c:strCache>
                <c:ptCount val="10"/>
                <c:pt idx="0">
                  <c:v>1-9</c:v>
                </c:pt>
                <c:pt idx="1">
                  <c:v>10-19</c:v>
                </c:pt>
                <c:pt idx="2">
                  <c:v>20-29</c:v>
                </c:pt>
                <c:pt idx="3">
                  <c:v>30-49</c:v>
                </c:pt>
                <c:pt idx="4">
                  <c:v>50-99</c:v>
                </c:pt>
                <c:pt idx="5">
                  <c:v>100-199</c:v>
                </c:pt>
                <c:pt idx="6">
                  <c:v>200-499</c:v>
                </c:pt>
                <c:pt idx="7">
                  <c:v>500-999</c:v>
                </c:pt>
                <c:pt idx="8">
                  <c:v>1000-1999</c:v>
                </c:pt>
                <c:pt idx="9">
                  <c:v>2000+</c:v>
                </c:pt>
              </c:strCache>
            </c:strRef>
          </c:cat>
          <c:val>
            <c:numRef>
              <c:f>'Average Farm Calculation'!$B$2:$B$11</c:f>
              <c:numCache>
                <c:formatCode>General</c:formatCode>
                <c:ptCount val="10"/>
                <c:pt idx="0">
                  <c:v>10089</c:v>
                </c:pt>
                <c:pt idx="1">
                  <c:v>3088</c:v>
                </c:pt>
                <c:pt idx="2">
                  <c:v>1555</c:v>
                </c:pt>
                <c:pt idx="3">
                  <c:v>1546</c:v>
                </c:pt>
                <c:pt idx="4">
                  <c:v>1524</c:v>
                </c:pt>
                <c:pt idx="5">
                  <c:v>1089</c:v>
                </c:pt>
                <c:pt idx="6">
                  <c:v>1178</c:v>
                </c:pt>
                <c:pt idx="7">
                  <c:v>555</c:v>
                </c:pt>
                <c:pt idx="8">
                  <c:v>373</c:v>
                </c:pt>
                <c:pt idx="9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C2-3047-BBAB-6FC75ABBC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84251839"/>
        <c:axId val="1057705935"/>
      </c:barChart>
      <c:lineChart>
        <c:grouping val="standard"/>
        <c:varyColors val="0"/>
        <c:ser>
          <c:idx val="1"/>
          <c:order val="1"/>
          <c:tx>
            <c:strRef>
              <c:f>'Average Farm Calculation'!$D$1</c:f>
              <c:strCache>
                <c:ptCount val="1"/>
                <c:pt idx="0">
                  <c:v>Cum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'Average Farm Calculation'!$D$2:$D$11</c:f>
              <c:numCache>
                <c:formatCode>0.0%</c:formatCode>
                <c:ptCount val="10"/>
                <c:pt idx="0">
                  <c:v>0.47441926079187435</c:v>
                </c:pt>
                <c:pt idx="1">
                  <c:v>0.61962757453211703</c:v>
                </c:pt>
                <c:pt idx="2">
                  <c:v>0.69274898899652027</c:v>
                </c:pt>
                <c:pt idx="3">
                  <c:v>0.7654471927019656</c:v>
                </c:pt>
                <c:pt idx="4">
                  <c:v>0.83711088121884702</c:v>
                </c:pt>
                <c:pt idx="5">
                  <c:v>0.88831938305276026</c:v>
                </c:pt>
                <c:pt idx="6">
                  <c:v>0.94371296905859114</c:v>
                </c:pt>
                <c:pt idx="7">
                  <c:v>0.9698109658609988</c:v>
                </c:pt>
                <c:pt idx="8">
                  <c:v>0.98735070064892316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C2-3047-BBAB-6FC75ABBC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1960255"/>
        <c:axId val="983991391"/>
      </c:lineChart>
      <c:catAx>
        <c:axId val="984251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Acerage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705935"/>
        <c:crosses val="autoZero"/>
        <c:auto val="1"/>
        <c:lblAlgn val="ctr"/>
        <c:lblOffset val="100"/>
        <c:noMultiLvlLbl val="0"/>
      </c:catAx>
      <c:valAx>
        <c:axId val="105770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Farms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251839"/>
        <c:crosses val="autoZero"/>
        <c:crossBetween val="between"/>
      </c:valAx>
      <c:valAx>
        <c:axId val="983991391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% of Farms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960255"/>
        <c:crosses val="max"/>
        <c:crossBetween val="between"/>
      </c:valAx>
      <c:catAx>
        <c:axId val="1051960255"/>
        <c:scaling>
          <c:orientation val="minMax"/>
        </c:scaling>
        <c:delete val="1"/>
        <c:axPos val="b"/>
        <c:majorTickMark val="out"/>
        <c:minorTickMark val="none"/>
        <c:tickLblPos val="nextTo"/>
        <c:crossAx val="983991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102612</xdr:rowOff>
    </xdr:from>
    <xdr:to>
      <xdr:col>4</xdr:col>
      <xdr:colOff>31750</xdr:colOff>
      <xdr:row>29</xdr:row>
      <xdr:rowOff>14610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AFE9ED-A709-D544-745D-D8389E9D03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9B9A-9280-674C-90FD-42E9078A90C2}">
  <dimension ref="A1:K12"/>
  <sheetViews>
    <sheetView topLeftCell="A6" zoomScale="112" workbookViewId="0">
      <selection activeCell="K18" sqref="K18"/>
    </sheetView>
  </sheetViews>
  <sheetFormatPr baseColWidth="10" defaultRowHeight="16" x14ac:dyDescent="0.2"/>
  <cols>
    <col min="7" max="7" width="12" bestFit="1" customWidth="1"/>
    <col min="10" max="10" width="12" bestFit="1" customWidth="1"/>
  </cols>
  <sheetData>
    <row r="1" spans="1:11" x14ac:dyDescent="0.2">
      <c r="A1" t="s">
        <v>7</v>
      </c>
      <c r="B1" t="s">
        <v>8</v>
      </c>
      <c r="C1" t="s">
        <v>5</v>
      </c>
      <c r="D1" t="s">
        <v>6</v>
      </c>
      <c r="J1" s="4"/>
      <c r="K1" t="s">
        <v>18</v>
      </c>
    </row>
    <row r="2" spans="1:11" x14ac:dyDescent="0.2">
      <c r="A2" s="1" t="s">
        <v>0</v>
      </c>
      <c r="B2">
        <v>10089</v>
      </c>
      <c r="C2" s="2">
        <f t="shared" ref="C2:C11" si="0">B2/$B$12</f>
        <v>0.47441926079187435</v>
      </c>
      <c r="D2" s="3">
        <f>C2</f>
        <v>0.47441926079187435</v>
      </c>
      <c r="I2" t="s">
        <v>8</v>
      </c>
      <c r="J2" s="4">
        <v>35547</v>
      </c>
      <c r="K2" s="4"/>
    </row>
    <row r="3" spans="1:11" x14ac:dyDescent="0.2">
      <c r="A3" s="1" t="s">
        <v>1</v>
      </c>
      <c r="B3">
        <v>3088</v>
      </c>
      <c r="C3" s="2">
        <f t="shared" si="0"/>
        <v>0.14520831374024265</v>
      </c>
      <c r="D3" s="3">
        <f>D2+C3</f>
        <v>0.61962757453211703</v>
      </c>
      <c r="I3" t="s">
        <v>19</v>
      </c>
      <c r="J3" s="4">
        <v>15295799</v>
      </c>
      <c r="K3" s="4"/>
    </row>
    <row r="4" spans="1:11" x14ac:dyDescent="0.2">
      <c r="A4" t="s">
        <v>9</v>
      </c>
      <c r="B4">
        <v>1555</v>
      </c>
      <c r="C4" s="2">
        <f t="shared" si="0"/>
        <v>7.3121414464403275E-2</v>
      </c>
      <c r="D4" s="3">
        <f t="shared" ref="D4:D11" si="1">D3+C4</f>
        <v>0.69274898899652027</v>
      </c>
      <c r="J4" s="4"/>
      <c r="K4" s="4"/>
    </row>
    <row r="5" spans="1:11" x14ac:dyDescent="0.2">
      <c r="A5" t="s">
        <v>10</v>
      </c>
      <c r="B5">
        <v>1546</v>
      </c>
      <c r="C5" s="2">
        <f t="shared" si="0"/>
        <v>7.2698203705445316E-2</v>
      </c>
      <c r="D5" s="3">
        <f t="shared" si="1"/>
        <v>0.7654471927019656</v>
      </c>
      <c r="I5" t="s">
        <v>14</v>
      </c>
      <c r="J5" s="4"/>
      <c r="K5" s="4"/>
    </row>
    <row r="6" spans="1:11" x14ac:dyDescent="0.2">
      <c r="A6" t="s">
        <v>11</v>
      </c>
      <c r="B6">
        <v>1524</v>
      </c>
      <c r="C6" s="2">
        <f t="shared" si="0"/>
        <v>7.1663688516881402E-2</v>
      </c>
      <c r="D6" s="3">
        <f t="shared" si="1"/>
        <v>0.83711088121884702</v>
      </c>
      <c r="I6" s="2" t="s">
        <v>15</v>
      </c>
      <c r="J6" s="4">
        <v>24642</v>
      </c>
      <c r="K6" s="2">
        <f>J6/J2</f>
        <v>0.69322305679804208</v>
      </c>
    </row>
    <row r="7" spans="1:11" x14ac:dyDescent="0.2">
      <c r="A7" t="s">
        <v>12</v>
      </c>
      <c r="B7">
        <v>1089</v>
      </c>
      <c r="C7" s="2">
        <f t="shared" si="0"/>
        <v>5.1208501833913289E-2</v>
      </c>
      <c r="D7" s="3">
        <f t="shared" si="1"/>
        <v>0.88831938305276026</v>
      </c>
      <c r="I7" s="2" t="s">
        <v>16</v>
      </c>
      <c r="J7" s="4">
        <v>4358927</v>
      </c>
      <c r="K7" s="2">
        <f>J7/J3</f>
        <v>0.28497543671958553</v>
      </c>
    </row>
    <row r="8" spans="1:11" x14ac:dyDescent="0.2">
      <c r="A8" t="s">
        <v>13</v>
      </c>
      <c r="B8">
        <v>1178</v>
      </c>
      <c r="C8" s="2">
        <f t="shared" si="0"/>
        <v>5.5393586005830907E-2</v>
      </c>
      <c r="D8" s="3">
        <f t="shared" si="1"/>
        <v>0.94371296905859114</v>
      </c>
      <c r="J8" s="4"/>
      <c r="K8" s="4"/>
    </row>
    <row r="9" spans="1:11" x14ac:dyDescent="0.2">
      <c r="A9" t="s">
        <v>2</v>
      </c>
      <c r="B9">
        <v>555</v>
      </c>
      <c r="C9" s="2">
        <f t="shared" si="0"/>
        <v>2.60979968024076E-2</v>
      </c>
      <c r="D9" s="3">
        <f>D8+C9</f>
        <v>0.9698109658609988</v>
      </c>
      <c r="I9" t="s">
        <v>17</v>
      </c>
      <c r="J9" s="4"/>
      <c r="K9" s="4"/>
    </row>
    <row r="10" spans="1:11" x14ac:dyDescent="0.2">
      <c r="A10" t="s">
        <v>3</v>
      </c>
      <c r="B10">
        <v>373</v>
      </c>
      <c r="C10" s="2">
        <f t="shared" si="0"/>
        <v>1.7539734787924387E-2</v>
      </c>
      <c r="D10" s="3">
        <f t="shared" si="1"/>
        <v>0.98735070064892316</v>
      </c>
      <c r="I10" s="2" t="s">
        <v>15</v>
      </c>
      <c r="J10" s="4">
        <v>21266</v>
      </c>
      <c r="K10" s="2">
        <f>J10/J2</f>
        <v>0.5982502039553268</v>
      </c>
    </row>
    <row r="11" spans="1:11" x14ac:dyDescent="0.2">
      <c r="A11" t="s">
        <v>4</v>
      </c>
      <c r="B11">
        <v>269</v>
      </c>
      <c r="C11" s="2">
        <f t="shared" si="0"/>
        <v>1.2649299351076837E-2</v>
      </c>
      <c r="D11" s="3">
        <f t="shared" si="1"/>
        <v>1</v>
      </c>
      <c r="I11" s="2" t="s">
        <v>16</v>
      </c>
      <c r="J11" s="4">
        <v>2738126</v>
      </c>
      <c r="K11" s="2">
        <f>J11/J3</f>
        <v>0.17901163580928331</v>
      </c>
    </row>
    <row r="12" spans="1:11" x14ac:dyDescent="0.2">
      <c r="B12">
        <f>SUM(B2:B11)</f>
        <v>21266</v>
      </c>
      <c r="E12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EBCD1-3528-894A-BE6F-59270972F3D0}">
  <dimension ref="A2:E18"/>
  <sheetViews>
    <sheetView zoomScale="94" workbookViewId="0">
      <selection activeCell="G14" sqref="G14"/>
    </sheetView>
  </sheetViews>
  <sheetFormatPr baseColWidth="10" defaultRowHeight="18" customHeight="1" x14ac:dyDescent="0.2"/>
  <cols>
    <col min="1" max="1" width="15.33203125" bestFit="1" customWidth="1"/>
    <col min="2" max="2" width="18" bestFit="1" customWidth="1"/>
    <col min="3" max="3" width="15.83203125" bestFit="1" customWidth="1"/>
    <col min="4" max="4" width="14.33203125" bestFit="1" customWidth="1"/>
  </cols>
  <sheetData>
    <row r="2" spans="1:5" ht="18" customHeight="1" x14ac:dyDescent="0.2">
      <c r="A2" s="5" t="s">
        <v>20</v>
      </c>
      <c r="B2" s="5" t="s">
        <v>21</v>
      </c>
      <c r="C2" s="5" t="s">
        <v>22</v>
      </c>
      <c r="D2" s="6" t="s">
        <v>36</v>
      </c>
      <c r="E2" s="5" t="s">
        <v>37</v>
      </c>
    </row>
    <row r="3" spans="1:5" ht="18" customHeight="1" x14ac:dyDescent="0.2">
      <c r="A3" s="7" t="s">
        <v>23</v>
      </c>
      <c r="B3" s="7">
        <v>120</v>
      </c>
      <c r="C3" s="7">
        <v>15.8</v>
      </c>
      <c r="D3" s="8">
        <v>0</v>
      </c>
      <c r="E3" s="9">
        <f>D3*C3</f>
        <v>0</v>
      </c>
    </row>
    <row r="4" spans="1:5" ht="18" customHeight="1" x14ac:dyDescent="0.2">
      <c r="A4" s="7" t="s">
        <v>24</v>
      </c>
      <c r="B4" s="7">
        <v>641</v>
      </c>
      <c r="C4" s="7">
        <v>18.3</v>
      </c>
      <c r="D4" s="8">
        <v>430.00000000000011</v>
      </c>
      <c r="E4" s="9">
        <f t="shared" ref="E4:E15" si="0">D4*C4</f>
        <v>7869.0000000000027</v>
      </c>
    </row>
    <row r="5" spans="1:5" ht="18" customHeight="1" x14ac:dyDescent="0.2">
      <c r="A5" s="7" t="s">
        <v>25</v>
      </c>
      <c r="B5" s="7">
        <v>31</v>
      </c>
      <c r="C5" s="7">
        <v>15.4</v>
      </c>
      <c r="D5" s="8">
        <v>0</v>
      </c>
      <c r="E5" s="9">
        <f t="shared" si="0"/>
        <v>0</v>
      </c>
    </row>
    <row r="6" spans="1:5" ht="18" customHeight="1" x14ac:dyDescent="0.2">
      <c r="A6" s="7" t="s">
        <v>26</v>
      </c>
      <c r="B6" s="7">
        <v>625</v>
      </c>
      <c r="C6" s="7">
        <v>10.3</v>
      </c>
      <c r="D6" s="8">
        <v>0</v>
      </c>
      <c r="E6" s="9">
        <f t="shared" si="0"/>
        <v>0</v>
      </c>
    </row>
    <row r="7" spans="1:5" ht="18" customHeight="1" x14ac:dyDescent="0.2">
      <c r="A7" s="7" t="s">
        <v>27</v>
      </c>
      <c r="B7" s="7">
        <v>175</v>
      </c>
      <c r="C7" s="7">
        <v>16.100000000000001</v>
      </c>
      <c r="D7" s="8">
        <v>0</v>
      </c>
      <c r="E7" s="9">
        <f t="shared" si="0"/>
        <v>0</v>
      </c>
    </row>
    <row r="8" spans="1:5" ht="18" customHeight="1" x14ac:dyDescent="0.2">
      <c r="A8" s="7" t="s">
        <v>28</v>
      </c>
      <c r="B8" s="7">
        <v>200</v>
      </c>
      <c r="C8" s="7">
        <v>11.4</v>
      </c>
      <c r="D8" s="8">
        <v>0</v>
      </c>
      <c r="E8" s="9">
        <f t="shared" si="0"/>
        <v>0</v>
      </c>
    </row>
    <row r="9" spans="1:5" ht="18" customHeight="1" x14ac:dyDescent="0.2">
      <c r="A9" s="7" t="s">
        <v>29</v>
      </c>
      <c r="B9" s="7">
        <v>39.29</v>
      </c>
      <c r="C9" s="7">
        <v>12.2</v>
      </c>
      <c r="D9" s="8">
        <v>0</v>
      </c>
      <c r="E9" s="9">
        <f t="shared" si="0"/>
        <v>0</v>
      </c>
    </row>
    <row r="10" spans="1:5" ht="18" customHeight="1" x14ac:dyDescent="0.2">
      <c r="A10" s="7" t="s">
        <v>30</v>
      </c>
      <c r="B10" s="7">
        <v>78.599999999999994</v>
      </c>
      <c r="C10" s="7">
        <v>12.15</v>
      </c>
      <c r="D10" s="8">
        <v>0</v>
      </c>
      <c r="E10" s="9">
        <f t="shared" si="0"/>
        <v>0</v>
      </c>
    </row>
    <row r="11" spans="1:5" ht="18" customHeight="1" x14ac:dyDescent="0.2">
      <c r="A11" s="7" t="s">
        <v>31</v>
      </c>
      <c r="B11" s="7">
        <v>116.5</v>
      </c>
      <c r="C11" s="7">
        <v>9.91</v>
      </c>
      <c r="D11" s="8">
        <v>0</v>
      </c>
      <c r="E11" s="9">
        <f t="shared" si="0"/>
        <v>0</v>
      </c>
    </row>
    <row r="12" spans="1:5" ht="18" customHeight="1" x14ac:dyDescent="0.2">
      <c r="A12" s="7" t="s">
        <v>32</v>
      </c>
      <c r="B12" s="7">
        <v>42</v>
      </c>
      <c r="C12" s="7">
        <v>9.08</v>
      </c>
      <c r="D12" s="8">
        <v>0</v>
      </c>
      <c r="E12" s="9">
        <f t="shared" si="0"/>
        <v>0</v>
      </c>
    </row>
    <row r="13" spans="1:5" ht="18" customHeight="1" x14ac:dyDescent="0.2">
      <c r="A13" s="7" t="s">
        <v>33</v>
      </c>
      <c r="B13" s="7">
        <v>42</v>
      </c>
      <c r="C13" s="7">
        <v>9.08</v>
      </c>
      <c r="D13" s="8">
        <v>0</v>
      </c>
      <c r="E13" s="9">
        <f t="shared" si="0"/>
        <v>0</v>
      </c>
    </row>
    <row r="14" spans="1:5" ht="18" customHeight="1" x14ac:dyDescent="0.2">
      <c r="A14" s="7" t="s">
        <v>34</v>
      </c>
      <c r="B14" s="7">
        <v>15.46</v>
      </c>
      <c r="C14" s="7">
        <v>5.178E-2</v>
      </c>
      <c r="D14" s="8">
        <v>0</v>
      </c>
      <c r="E14" s="9">
        <f t="shared" si="0"/>
        <v>0</v>
      </c>
    </row>
    <row r="15" spans="1:5" ht="18" customHeight="1" thickBot="1" x14ac:dyDescent="0.25">
      <c r="A15" s="7" t="s">
        <v>35</v>
      </c>
      <c r="B15" s="7">
        <v>22.6</v>
      </c>
      <c r="C15" s="7">
        <v>9.27</v>
      </c>
      <c r="D15" s="10">
        <v>0</v>
      </c>
      <c r="E15" s="11">
        <f t="shared" si="0"/>
        <v>0</v>
      </c>
    </row>
    <row r="16" spans="1:5" ht="18" customHeight="1" thickTop="1" x14ac:dyDescent="0.2">
      <c r="D16" s="12">
        <f>SUM(D3:D15)</f>
        <v>430.00000000000011</v>
      </c>
      <c r="E16" s="13">
        <f>SUM(E3:E15)</f>
        <v>7869.0000000000027</v>
      </c>
    </row>
    <row r="18" spans="1:2" ht="18" customHeight="1" x14ac:dyDescent="0.2">
      <c r="A18" s="14" t="s">
        <v>38</v>
      </c>
      <c r="B18" s="7">
        <v>430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6BA8-4EA2-A143-80AF-D7DDEA46E8FC}">
  <dimension ref="A1:Z38"/>
  <sheetViews>
    <sheetView topLeftCell="K1" zoomScale="90" zoomScaleNormal="70" workbookViewId="0">
      <selection activeCell="U26" sqref="U26"/>
    </sheetView>
  </sheetViews>
  <sheetFormatPr baseColWidth="10" defaultRowHeight="18" customHeight="1" x14ac:dyDescent="0.2"/>
  <cols>
    <col min="1" max="1" width="15.1640625" bestFit="1" customWidth="1"/>
    <col min="2" max="2" width="7.83203125" bestFit="1" customWidth="1"/>
    <col min="3" max="14" width="4.5" customWidth="1"/>
    <col min="16" max="16" width="15.1640625" bestFit="1" customWidth="1"/>
    <col min="17" max="17" width="7.83203125" bestFit="1" customWidth="1"/>
    <col min="18" max="18" width="7.6640625" bestFit="1" customWidth="1"/>
    <col min="19" max="19" width="8.1640625" bestFit="1" customWidth="1"/>
    <col min="20" max="23" width="13.33203125" customWidth="1"/>
    <col min="24" max="24" width="10.5" customWidth="1"/>
    <col min="26" max="26" width="15.1640625" bestFit="1" customWidth="1"/>
  </cols>
  <sheetData>
    <row r="1" spans="1:26" ht="18" customHeight="1" x14ac:dyDescent="0.2">
      <c r="C1" s="34"/>
      <c r="D1" s="34" t="s">
        <v>76</v>
      </c>
      <c r="E1" s="34"/>
      <c r="G1" t="s">
        <v>75</v>
      </c>
      <c r="I1" s="34"/>
      <c r="J1" s="34" t="s">
        <v>77</v>
      </c>
      <c r="K1" s="34"/>
      <c r="M1" t="s">
        <v>78</v>
      </c>
    </row>
    <row r="2" spans="1:26" ht="18" customHeight="1" x14ac:dyDescent="0.2">
      <c r="A2" s="5" t="s">
        <v>52</v>
      </c>
      <c r="B2" s="5" t="s">
        <v>61</v>
      </c>
      <c r="C2" s="5" t="s">
        <v>39</v>
      </c>
      <c r="D2" s="5" t="s">
        <v>40</v>
      </c>
      <c r="E2" s="26" t="s">
        <v>41</v>
      </c>
      <c r="F2" s="5" t="s">
        <v>42</v>
      </c>
      <c r="G2" s="5" t="s">
        <v>43</v>
      </c>
      <c r="H2" s="5" t="s">
        <v>44</v>
      </c>
      <c r="I2" s="5" t="s">
        <v>45</v>
      </c>
      <c r="J2" s="5" t="s">
        <v>46</v>
      </c>
      <c r="K2" s="5" t="s">
        <v>47</v>
      </c>
      <c r="L2" s="5" t="s">
        <v>48</v>
      </c>
      <c r="M2" s="5" t="s">
        <v>49</v>
      </c>
      <c r="N2" s="5" t="s">
        <v>50</v>
      </c>
      <c r="P2" s="5" t="s">
        <v>20</v>
      </c>
      <c r="Q2" s="5" t="s">
        <v>61</v>
      </c>
      <c r="R2" s="5" t="s">
        <v>84</v>
      </c>
      <c r="S2" s="5" t="s">
        <v>93</v>
      </c>
      <c r="T2" s="5" t="s">
        <v>86</v>
      </c>
      <c r="U2" s="5" t="s">
        <v>87</v>
      </c>
      <c r="V2" s="5" t="s">
        <v>88</v>
      </c>
      <c r="W2" s="5" t="s">
        <v>89</v>
      </c>
      <c r="X2" s="5" t="s">
        <v>90</v>
      </c>
      <c r="Y2" s="5" t="s">
        <v>91</v>
      </c>
      <c r="Z2" s="5" t="s">
        <v>85</v>
      </c>
    </row>
    <row r="3" spans="1:26" ht="18" customHeight="1" x14ac:dyDescent="0.2">
      <c r="A3" s="17" t="s">
        <v>35</v>
      </c>
      <c r="B3" s="43" t="s">
        <v>62</v>
      </c>
      <c r="C3" s="15"/>
      <c r="D3" s="15"/>
      <c r="E3" s="27"/>
      <c r="F3" s="18"/>
      <c r="G3" s="18"/>
      <c r="H3" s="27"/>
      <c r="I3" s="18"/>
      <c r="J3" s="18"/>
      <c r="K3" s="16"/>
      <c r="L3" s="15"/>
      <c r="M3" s="15"/>
      <c r="N3" s="15"/>
      <c r="P3" s="7" t="s">
        <v>35</v>
      </c>
      <c r="Q3" s="42" t="s">
        <v>62</v>
      </c>
      <c r="R3" s="7">
        <v>22.6</v>
      </c>
      <c r="S3" s="7">
        <v>9.27</v>
      </c>
      <c r="T3">
        <v>0</v>
      </c>
      <c r="U3" s="35">
        <f>X3</f>
        <v>0</v>
      </c>
      <c r="V3" s="35">
        <f t="shared" ref="V3:V8" si="0">X3</f>
        <v>0</v>
      </c>
      <c r="W3">
        <v>0</v>
      </c>
      <c r="X3" s="34">
        <v>0</v>
      </c>
      <c r="Y3">
        <f t="shared" ref="Y3:Y16" si="1">X3*R3</f>
        <v>0</v>
      </c>
      <c r="Z3" s="48">
        <f t="shared" ref="Z3:Z16" si="2">Y3*S3</f>
        <v>0</v>
      </c>
    </row>
    <row r="4" spans="1:26" ht="18" customHeight="1" x14ac:dyDescent="0.2">
      <c r="A4" s="19" t="s">
        <v>58</v>
      </c>
      <c r="B4" s="43" t="s">
        <v>63</v>
      </c>
      <c r="C4" s="20"/>
      <c r="D4" s="20"/>
      <c r="E4" s="28"/>
      <c r="F4" s="21"/>
      <c r="G4" s="21"/>
      <c r="H4" s="31"/>
      <c r="I4" s="21"/>
      <c r="J4" s="21"/>
      <c r="K4" s="31"/>
      <c r="L4" s="21"/>
      <c r="M4" s="21"/>
      <c r="N4" s="20"/>
      <c r="P4" s="7" t="s">
        <v>31</v>
      </c>
      <c r="Q4" s="42" t="s">
        <v>63</v>
      </c>
      <c r="R4" s="7">
        <v>116.5</v>
      </c>
      <c r="S4" s="7">
        <v>9.91</v>
      </c>
      <c r="T4">
        <v>0</v>
      </c>
      <c r="U4" s="35">
        <f t="shared" ref="U4:U14" si="3">X4</f>
        <v>0</v>
      </c>
      <c r="V4" s="35">
        <f t="shared" si="0"/>
        <v>0</v>
      </c>
      <c r="W4">
        <v>0</v>
      </c>
      <c r="X4" s="34">
        <v>0</v>
      </c>
      <c r="Y4">
        <f t="shared" si="1"/>
        <v>0</v>
      </c>
      <c r="Z4" s="48">
        <f t="shared" si="2"/>
        <v>0</v>
      </c>
    </row>
    <row r="5" spans="1:26" ht="18" customHeight="1" x14ac:dyDescent="0.2">
      <c r="A5" s="19" t="s">
        <v>53</v>
      </c>
      <c r="B5" s="43" t="s">
        <v>64</v>
      </c>
      <c r="C5" s="20"/>
      <c r="D5" s="20"/>
      <c r="E5" s="28"/>
      <c r="F5" s="21"/>
      <c r="G5" s="21"/>
      <c r="H5" s="31"/>
      <c r="I5" s="21"/>
      <c r="J5" s="21"/>
      <c r="K5" s="31"/>
      <c r="L5" s="20"/>
      <c r="M5" s="20"/>
      <c r="N5" s="20"/>
      <c r="P5" s="7" t="s">
        <v>30</v>
      </c>
      <c r="Q5" s="42" t="s">
        <v>64</v>
      </c>
      <c r="R5" s="7">
        <v>78.599999999999994</v>
      </c>
      <c r="S5" s="7">
        <v>12.15</v>
      </c>
      <c r="T5">
        <v>0</v>
      </c>
      <c r="U5" s="35">
        <f t="shared" si="3"/>
        <v>0</v>
      </c>
      <c r="V5" s="35">
        <f t="shared" si="0"/>
        <v>0</v>
      </c>
      <c r="W5">
        <v>0</v>
      </c>
      <c r="X5" s="34">
        <v>0</v>
      </c>
      <c r="Y5">
        <f t="shared" si="1"/>
        <v>0</v>
      </c>
      <c r="Z5" s="48">
        <f t="shared" si="2"/>
        <v>0</v>
      </c>
    </row>
    <row r="6" spans="1:26" ht="18" customHeight="1" x14ac:dyDescent="0.2">
      <c r="A6" s="19" t="s">
        <v>54</v>
      </c>
      <c r="B6" s="43" t="s">
        <v>65</v>
      </c>
      <c r="C6" s="20"/>
      <c r="D6" s="20"/>
      <c r="E6" s="28"/>
      <c r="F6" s="21"/>
      <c r="G6" s="21"/>
      <c r="H6" s="31"/>
      <c r="I6" s="21"/>
      <c r="J6" s="21"/>
      <c r="K6" s="31"/>
      <c r="L6" s="21"/>
      <c r="M6" s="20"/>
      <c r="N6" s="20"/>
      <c r="P6" s="7" t="s">
        <v>29</v>
      </c>
      <c r="Q6" s="42" t="s">
        <v>65</v>
      </c>
      <c r="R6" s="7">
        <v>39.29</v>
      </c>
      <c r="S6" s="7">
        <v>12.2</v>
      </c>
      <c r="T6">
        <v>0</v>
      </c>
      <c r="U6" s="35">
        <f t="shared" si="3"/>
        <v>0</v>
      </c>
      <c r="V6" s="35">
        <f t="shared" si="0"/>
        <v>0</v>
      </c>
      <c r="W6">
        <v>0</v>
      </c>
      <c r="X6" s="34">
        <v>0</v>
      </c>
      <c r="Y6">
        <f t="shared" si="1"/>
        <v>0</v>
      </c>
      <c r="Z6" s="48">
        <f t="shared" si="2"/>
        <v>0</v>
      </c>
    </row>
    <row r="7" spans="1:26" ht="18" customHeight="1" x14ac:dyDescent="0.2">
      <c r="A7" s="19" t="s">
        <v>55</v>
      </c>
      <c r="B7" s="43" t="s">
        <v>66</v>
      </c>
      <c r="C7" s="20"/>
      <c r="D7" s="20"/>
      <c r="E7" s="28"/>
      <c r="F7" s="21"/>
      <c r="G7" s="21"/>
      <c r="H7" s="31"/>
      <c r="I7" s="21"/>
      <c r="J7" s="21"/>
      <c r="K7" s="31"/>
      <c r="L7" s="21"/>
      <c r="M7" s="20"/>
      <c r="N7" s="20"/>
      <c r="P7" s="7" t="s">
        <v>26</v>
      </c>
      <c r="Q7" s="42" t="s">
        <v>66</v>
      </c>
      <c r="R7" s="7">
        <v>625</v>
      </c>
      <c r="S7" s="7">
        <v>10.3</v>
      </c>
      <c r="T7">
        <v>0</v>
      </c>
      <c r="U7" s="35">
        <f t="shared" si="3"/>
        <v>0</v>
      </c>
      <c r="V7" s="35">
        <f t="shared" si="0"/>
        <v>0</v>
      </c>
      <c r="W7">
        <v>0</v>
      </c>
      <c r="X7" s="34">
        <v>0</v>
      </c>
      <c r="Y7">
        <f t="shared" si="1"/>
        <v>0</v>
      </c>
      <c r="Z7" s="48">
        <f t="shared" si="2"/>
        <v>0</v>
      </c>
    </row>
    <row r="8" spans="1:26" ht="18" customHeight="1" x14ac:dyDescent="0.2">
      <c r="A8" s="19" t="s">
        <v>33</v>
      </c>
      <c r="B8" s="43" t="s">
        <v>67</v>
      </c>
      <c r="C8" s="20"/>
      <c r="D8" s="20"/>
      <c r="E8" s="28"/>
      <c r="F8" s="21"/>
      <c r="G8" s="21"/>
      <c r="H8" s="31"/>
      <c r="I8" s="21"/>
      <c r="J8" s="20"/>
      <c r="K8" s="28"/>
      <c r="L8" s="20"/>
      <c r="M8" s="20"/>
      <c r="N8" s="20"/>
      <c r="P8" s="7" t="s">
        <v>33</v>
      </c>
      <c r="Q8" s="42" t="s">
        <v>67</v>
      </c>
      <c r="R8" s="7">
        <v>42</v>
      </c>
      <c r="S8" s="7">
        <v>9.08</v>
      </c>
      <c r="T8">
        <v>0</v>
      </c>
      <c r="U8" s="35">
        <f t="shared" si="3"/>
        <v>0</v>
      </c>
      <c r="V8" s="35">
        <f t="shared" si="0"/>
        <v>0</v>
      </c>
      <c r="W8">
        <v>0</v>
      </c>
      <c r="X8" s="34">
        <v>0</v>
      </c>
      <c r="Y8">
        <f t="shared" si="1"/>
        <v>0</v>
      </c>
      <c r="Z8" s="48">
        <f t="shared" si="2"/>
        <v>0</v>
      </c>
    </row>
    <row r="9" spans="1:26" ht="18" customHeight="1" x14ac:dyDescent="0.2">
      <c r="A9" s="19" t="s">
        <v>32</v>
      </c>
      <c r="B9" s="43" t="s">
        <v>68</v>
      </c>
      <c r="C9" s="23"/>
      <c r="D9" s="23"/>
      <c r="E9" s="29"/>
      <c r="F9" s="23"/>
      <c r="G9" s="23"/>
      <c r="H9" s="29"/>
      <c r="I9" s="23"/>
      <c r="J9" s="20"/>
      <c r="K9" s="28"/>
      <c r="L9" s="21"/>
      <c r="M9" s="21"/>
      <c r="N9" s="21"/>
      <c r="P9" s="7" t="s">
        <v>32</v>
      </c>
      <c r="Q9" s="42" t="s">
        <v>68</v>
      </c>
      <c r="R9" s="7">
        <v>42</v>
      </c>
      <c r="S9" s="7">
        <v>9.08</v>
      </c>
      <c r="T9" s="35">
        <f>X9</f>
        <v>0</v>
      </c>
      <c r="U9" s="35">
        <f t="shared" si="3"/>
        <v>0</v>
      </c>
      <c r="V9">
        <v>0</v>
      </c>
      <c r="W9" s="35">
        <f>X9</f>
        <v>0</v>
      </c>
      <c r="X9" s="34">
        <v>0</v>
      </c>
      <c r="Y9">
        <f t="shared" si="1"/>
        <v>0</v>
      </c>
      <c r="Z9" s="48">
        <f t="shared" si="2"/>
        <v>0</v>
      </c>
    </row>
    <row r="10" spans="1:26" ht="18" customHeight="1" x14ac:dyDescent="0.2">
      <c r="A10" s="19" t="s">
        <v>56</v>
      </c>
      <c r="B10" s="43" t="s">
        <v>69</v>
      </c>
      <c r="C10" s="20"/>
      <c r="D10" s="20"/>
      <c r="E10" s="28"/>
      <c r="F10" s="20"/>
      <c r="G10" s="24"/>
      <c r="H10" s="30"/>
      <c r="I10" s="24"/>
      <c r="J10" s="24"/>
      <c r="K10" s="30"/>
      <c r="L10" s="20"/>
      <c r="M10" s="20"/>
      <c r="N10" s="20"/>
      <c r="P10" s="7" t="s">
        <v>23</v>
      </c>
      <c r="Q10" s="42" t="s">
        <v>69</v>
      </c>
      <c r="R10" s="7">
        <v>120</v>
      </c>
      <c r="S10" s="7">
        <v>15.8</v>
      </c>
      <c r="T10">
        <v>0</v>
      </c>
      <c r="U10" s="35">
        <f t="shared" si="3"/>
        <v>0</v>
      </c>
      <c r="V10" s="35">
        <f>X10</f>
        <v>0</v>
      </c>
      <c r="W10">
        <v>0</v>
      </c>
      <c r="X10" s="34">
        <v>0</v>
      </c>
      <c r="Y10">
        <f t="shared" si="1"/>
        <v>0</v>
      </c>
      <c r="Z10" s="48">
        <f t="shared" si="2"/>
        <v>0</v>
      </c>
    </row>
    <row r="11" spans="1:26" ht="18" customHeight="1" x14ac:dyDescent="0.2">
      <c r="A11" s="19" t="s">
        <v>57</v>
      </c>
      <c r="B11" s="43" t="s">
        <v>70</v>
      </c>
      <c r="C11" s="20"/>
      <c r="D11" s="20"/>
      <c r="E11" s="28"/>
      <c r="F11" s="24"/>
      <c r="G11" s="24"/>
      <c r="H11" s="30"/>
      <c r="I11" s="24"/>
      <c r="J11" s="24"/>
      <c r="K11" s="30"/>
      <c r="L11" s="20"/>
      <c r="M11" s="20"/>
      <c r="N11" s="20"/>
      <c r="P11" s="7" t="s">
        <v>28</v>
      </c>
      <c r="Q11" s="42" t="s">
        <v>70</v>
      </c>
      <c r="R11" s="7">
        <v>200</v>
      </c>
      <c r="S11" s="7">
        <v>11.4</v>
      </c>
      <c r="T11">
        <v>0</v>
      </c>
      <c r="U11" s="35">
        <f t="shared" si="3"/>
        <v>0</v>
      </c>
      <c r="V11" s="35">
        <f>X11</f>
        <v>0</v>
      </c>
      <c r="W11">
        <v>0</v>
      </c>
      <c r="X11" s="34">
        <v>0</v>
      </c>
      <c r="Y11">
        <f t="shared" si="1"/>
        <v>0</v>
      </c>
      <c r="Z11" s="48">
        <f t="shared" si="2"/>
        <v>0</v>
      </c>
    </row>
    <row r="12" spans="1:26" ht="18" customHeight="1" x14ac:dyDescent="0.2">
      <c r="A12" s="19" t="s">
        <v>51</v>
      </c>
      <c r="B12" s="43" t="s">
        <v>71</v>
      </c>
      <c r="C12" s="20"/>
      <c r="D12" s="20"/>
      <c r="E12" s="30"/>
      <c r="F12" s="24"/>
      <c r="G12" s="24"/>
      <c r="H12" s="30"/>
      <c r="I12" s="24"/>
      <c r="J12" s="24"/>
      <c r="K12" s="28"/>
      <c r="L12" s="20"/>
      <c r="M12" s="20"/>
      <c r="N12" s="20"/>
      <c r="P12" s="7" t="s">
        <v>24</v>
      </c>
      <c r="Q12" s="42" t="s">
        <v>71</v>
      </c>
      <c r="R12" s="7">
        <v>641</v>
      </c>
      <c r="S12" s="7">
        <v>18.3</v>
      </c>
      <c r="T12">
        <v>0</v>
      </c>
      <c r="U12" s="35">
        <f t="shared" si="3"/>
        <v>430</v>
      </c>
      <c r="V12" s="35">
        <f>X12</f>
        <v>430</v>
      </c>
      <c r="W12">
        <v>0</v>
      </c>
      <c r="X12" s="34">
        <v>430</v>
      </c>
      <c r="Y12">
        <f t="shared" si="1"/>
        <v>275630</v>
      </c>
      <c r="Z12" s="48">
        <f t="shared" si="2"/>
        <v>5044029</v>
      </c>
    </row>
    <row r="13" spans="1:26" ht="18" customHeight="1" x14ac:dyDescent="0.2">
      <c r="A13" s="17" t="s">
        <v>27</v>
      </c>
      <c r="B13" s="43" t="s">
        <v>72</v>
      </c>
      <c r="C13" s="15"/>
      <c r="D13" s="15"/>
      <c r="E13" s="16"/>
      <c r="F13" s="15"/>
      <c r="G13" s="22"/>
      <c r="H13" s="32"/>
      <c r="I13" s="22"/>
      <c r="J13" s="22"/>
      <c r="K13" s="32"/>
      <c r="L13" s="15"/>
      <c r="M13" s="15"/>
      <c r="N13" s="15"/>
      <c r="P13" s="7" t="s">
        <v>27</v>
      </c>
      <c r="Q13" s="42" t="s">
        <v>72</v>
      </c>
      <c r="R13" s="7">
        <v>175</v>
      </c>
      <c r="S13" s="7">
        <v>16.100000000000001</v>
      </c>
      <c r="T13">
        <v>0</v>
      </c>
      <c r="U13" s="35">
        <f t="shared" si="3"/>
        <v>0</v>
      </c>
      <c r="V13" s="35">
        <f>X13</f>
        <v>0</v>
      </c>
      <c r="W13">
        <v>0</v>
      </c>
      <c r="X13" s="34">
        <v>0</v>
      </c>
      <c r="Y13">
        <f t="shared" si="1"/>
        <v>0</v>
      </c>
      <c r="Z13" s="48">
        <f t="shared" si="2"/>
        <v>0</v>
      </c>
    </row>
    <row r="14" spans="1:26" ht="18" customHeight="1" x14ac:dyDescent="0.2">
      <c r="A14" s="17" t="s">
        <v>59</v>
      </c>
      <c r="B14" s="43" t="s">
        <v>73</v>
      </c>
      <c r="C14" s="15"/>
      <c r="D14" s="15"/>
      <c r="E14" s="16"/>
      <c r="F14" s="22"/>
      <c r="G14" s="22"/>
      <c r="H14" s="32"/>
      <c r="I14" s="15"/>
      <c r="J14" s="25"/>
      <c r="K14" s="33"/>
      <c r="L14" s="25"/>
      <c r="M14" s="15"/>
      <c r="N14" s="15"/>
      <c r="P14" s="7" t="s">
        <v>79</v>
      </c>
      <c r="Q14" s="42" t="s">
        <v>73</v>
      </c>
      <c r="R14" s="7">
        <v>31</v>
      </c>
      <c r="S14" s="7">
        <v>15.4</v>
      </c>
      <c r="T14">
        <v>0</v>
      </c>
      <c r="U14" s="35">
        <f t="shared" si="3"/>
        <v>0</v>
      </c>
      <c r="V14">
        <v>0</v>
      </c>
      <c r="W14">
        <v>0</v>
      </c>
      <c r="X14" s="34">
        <v>0</v>
      </c>
      <c r="Y14">
        <f t="shared" si="1"/>
        <v>0</v>
      </c>
      <c r="Z14" s="48">
        <f t="shared" si="2"/>
        <v>0</v>
      </c>
    </row>
    <row r="15" spans="1:26" ht="18" customHeight="1" x14ac:dyDescent="0.2">
      <c r="A15" s="17" t="s">
        <v>60</v>
      </c>
      <c r="B15" s="43" t="s">
        <v>74</v>
      </c>
      <c r="C15" s="15"/>
      <c r="D15" s="15"/>
      <c r="E15" s="16"/>
      <c r="F15" s="25"/>
      <c r="G15" s="25"/>
      <c r="H15" s="33"/>
      <c r="I15" s="15"/>
      <c r="J15" s="22"/>
      <c r="K15" s="32"/>
      <c r="L15" s="22"/>
      <c r="M15" s="15"/>
      <c r="N15" s="15"/>
      <c r="P15" s="7" t="s">
        <v>80</v>
      </c>
      <c r="Q15" s="42" t="s">
        <v>74</v>
      </c>
      <c r="R15" s="7">
        <v>31</v>
      </c>
      <c r="S15" s="7">
        <v>15.4</v>
      </c>
      <c r="T15">
        <v>0</v>
      </c>
      <c r="U15">
        <v>0</v>
      </c>
      <c r="V15" s="35">
        <f>X15</f>
        <v>0</v>
      </c>
      <c r="W15">
        <v>0</v>
      </c>
      <c r="X15" s="34">
        <v>0</v>
      </c>
      <c r="Y15">
        <f t="shared" si="1"/>
        <v>0</v>
      </c>
      <c r="Z15" s="48">
        <f t="shared" si="2"/>
        <v>0</v>
      </c>
    </row>
    <row r="16" spans="1:26" ht="18" customHeight="1" x14ac:dyDescent="0.2">
      <c r="A16" s="19" t="s">
        <v>34</v>
      </c>
      <c r="B16" s="44" t="s">
        <v>81</v>
      </c>
      <c r="C16" s="20"/>
      <c r="D16" s="20"/>
      <c r="E16" s="39"/>
      <c r="F16" s="37"/>
      <c r="G16" s="37"/>
      <c r="H16" s="40"/>
      <c r="I16" s="36"/>
      <c r="J16" s="37"/>
      <c r="K16" s="41"/>
      <c r="L16" s="38"/>
      <c r="M16" s="20"/>
      <c r="N16" s="20"/>
      <c r="P16" s="7" t="s">
        <v>34</v>
      </c>
      <c r="Q16" s="42" t="s">
        <v>81</v>
      </c>
      <c r="R16" s="7">
        <v>15.46</v>
      </c>
      <c r="S16" s="7">
        <v>5.178E-2</v>
      </c>
      <c r="T16">
        <v>0</v>
      </c>
      <c r="U16" s="35">
        <f>X16</f>
        <v>0</v>
      </c>
      <c r="V16" s="35">
        <f>X16</f>
        <v>0</v>
      </c>
      <c r="W16">
        <v>0</v>
      </c>
      <c r="X16" s="34">
        <v>0</v>
      </c>
      <c r="Y16">
        <f t="shared" si="1"/>
        <v>0</v>
      </c>
      <c r="Z16" s="48">
        <f t="shared" si="2"/>
        <v>0</v>
      </c>
    </row>
    <row r="17" spans="16:26" ht="18" customHeight="1" x14ac:dyDescent="0.2">
      <c r="T17" s="45">
        <f>SUM(T3:T16)</f>
        <v>0</v>
      </c>
      <c r="U17" s="45">
        <f>SUM(U3:U16)</f>
        <v>430</v>
      </c>
      <c r="V17" s="45">
        <f>SUM(V3:V16)</f>
        <v>430</v>
      </c>
      <c r="W17" s="45">
        <f>SUM(W3:W16)</f>
        <v>0</v>
      </c>
      <c r="Z17" s="49">
        <f>SUM(Z3:Z16)</f>
        <v>5044029</v>
      </c>
    </row>
    <row r="18" spans="16:26" ht="18" customHeight="1" x14ac:dyDescent="0.2">
      <c r="P18" s="46" t="s">
        <v>92</v>
      </c>
      <c r="Q18" s="47">
        <v>430</v>
      </c>
    </row>
    <row r="35" spans="1:10" ht="18" customHeight="1" x14ac:dyDescent="0.2">
      <c r="A35" s="14"/>
      <c r="B35" s="7"/>
    </row>
    <row r="37" spans="1:10" ht="18" customHeight="1" x14ac:dyDescent="0.2">
      <c r="J37" t="s">
        <v>83</v>
      </c>
    </row>
    <row r="38" spans="1:10" ht="18" customHeight="1" x14ac:dyDescent="0.2">
      <c r="J38" t="s">
        <v>82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5306-9F08-CD4A-AF0B-705A5824555F}">
  <dimension ref="A2:S18"/>
  <sheetViews>
    <sheetView zoomScale="81" zoomScaleNormal="70" workbookViewId="0">
      <selection activeCell="S3" sqref="S3"/>
    </sheetView>
  </sheetViews>
  <sheetFormatPr baseColWidth="10" defaultRowHeight="18" customHeight="1" x14ac:dyDescent="0.2"/>
  <cols>
    <col min="1" max="1" width="15.1640625" bestFit="1" customWidth="1"/>
    <col min="2" max="2" width="7.83203125" bestFit="1" customWidth="1"/>
    <col min="3" max="3" width="7.6640625" bestFit="1" customWidth="1"/>
    <col min="4" max="4" width="8.33203125" bestFit="1" customWidth="1"/>
    <col min="5" max="5" width="4" bestFit="1" customWidth="1"/>
    <col min="6" max="7" width="4.5" bestFit="1" customWidth="1"/>
    <col min="8" max="8" width="4" bestFit="1" customWidth="1"/>
    <col min="9" max="9" width="4.6640625" bestFit="1" customWidth="1"/>
    <col min="10" max="10" width="4" bestFit="1" customWidth="1"/>
    <col min="11" max="11" width="3.5" bestFit="1" customWidth="1"/>
    <col min="12" max="12" width="4.33203125" bestFit="1" customWidth="1"/>
    <col min="13" max="15" width="4.5" bestFit="1" customWidth="1"/>
    <col min="16" max="16" width="4.6640625" bestFit="1" customWidth="1"/>
    <col min="17" max="18" width="11" bestFit="1" customWidth="1"/>
    <col min="19" max="19" width="14" bestFit="1" customWidth="1"/>
  </cols>
  <sheetData>
    <row r="2" spans="1:19" ht="18" customHeight="1" x14ac:dyDescent="0.2">
      <c r="A2" s="5" t="s">
        <v>20</v>
      </c>
      <c r="B2" s="5" t="s">
        <v>61</v>
      </c>
      <c r="C2" s="5" t="s">
        <v>84</v>
      </c>
      <c r="D2" s="5" t="s">
        <v>93</v>
      </c>
      <c r="E2" s="5" t="s">
        <v>39</v>
      </c>
      <c r="F2" s="5" t="s">
        <v>40</v>
      </c>
      <c r="G2" s="26" t="s">
        <v>41</v>
      </c>
      <c r="H2" s="5" t="s">
        <v>42</v>
      </c>
      <c r="I2" s="5" t="s">
        <v>43</v>
      </c>
      <c r="J2" s="5" t="s">
        <v>44</v>
      </c>
      <c r="K2" s="5" t="s">
        <v>45</v>
      </c>
      <c r="L2" s="5" t="s">
        <v>46</v>
      </c>
      <c r="M2" s="5" t="s">
        <v>47</v>
      </c>
      <c r="N2" s="5" t="s">
        <v>48</v>
      </c>
      <c r="O2" s="5" t="s">
        <v>49</v>
      </c>
      <c r="P2" s="5" t="s">
        <v>50</v>
      </c>
      <c r="Q2" s="5" t="s">
        <v>90</v>
      </c>
      <c r="R2" s="5" t="s">
        <v>91</v>
      </c>
      <c r="S2" s="5" t="s">
        <v>85</v>
      </c>
    </row>
    <row r="3" spans="1:19" ht="18" customHeight="1" x14ac:dyDescent="0.2">
      <c r="A3" s="7" t="s">
        <v>35</v>
      </c>
      <c r="B3" s="42" t="s">
        <v>62</v>
      </c>
      <c r="C3" s="7">
        <v>22.6</v>
      </c>
      <c r="D3" s="7">
        <v>9.27</v>
      </c>
      <c r="E3" s="51">
        <v>0</v>
      </c>
      <c r="F3" s="51">
        <v>0</v>
      </c>
      <c r="G3" s="50">
        <f>$Q3</f>
        <v>0</v>
      </c>
      <c r="H3" s="50">
        <f t="shared" ref="H3:P16" si="0">$Q3</f>
        <v>0</v>
      </c>
      <c r="I3" s="50">
        <f t="shared" si="0"/>
        <v>0</v>
      </c>
      <c r="J3" s="50">
        <f t="shared" si="0"/>
        <v>0</v>
      </c>
      <c r="K3" s="50">
        <f t="shared" si="0"/>
        <v>0</v>
      </c>
      <c r="L3" s="50">
        <f t="shared" si="0"/>
        <v>0</v>
      </c>
      <c r="M3" s="51">
        <v>0</v>
      </c>
      <c r="N3" s="51">
        <v>0</v>
      </c>
      <c r="O3" s="51">
        <v>0</v>
      </c>
      <c r="P3" s="51">
        <v>0</v>
      </c>
      <c r="Q3" s="52">
        <v>0</v>
      </c>
      <c r="R3">
        <f>Q3*C3</f>
        <v>0</v>
      </c>
      <c r="S3" s="48">
        <f>R3*D3</f>
        <v>0</v>
      </c>
    </row>
    <row r="4" spans="1:19" ht="18" customHeight="1" x14ac:dyDescent="0.2">
      <c r="A4" s="7" t="s">
        <v>31</v>
      </c>
      <c r="B4" s="42" t="s">
        <v>63</v>
      </c>
      <c r="C4" s="7">
        <v>116.5</v>
      </c>
      <c r="D4" s="7">
        <v>9.91</v>
      </c>
      <c r="E4" s="51">
        <v>0</v>
      </c>
      <c r="F4" s="51">
        <v>0</v>
      </c>
      <c r="G4" s="51">
        <v>0</v>
      </c>
      <c r="H4" s="53">
        <f>$Q4</f>
        <v>0</v>
      </c>
      <c r="I4" s="53">
        <f t="shared" si="0"/>
        <v>0</v>
      </c>
      <c r="J4" s="53">
        <f t="shared" si="0"/>
        <v>0</v>
      </c>
      <c r="K4" s="53">
        <f t="shared" si="0"/>
        <v>0</v>
      </c>
      <c r="L4" s="53">
        <f t="shared" si="0"/>
        <v>0</v>
      </c>
      <c r="M4" s="53">
        <f t="shared" si="0"/>
        <v>0</v>
      </c>
      <c r="N4" s="53">
        <f t="shared" si="0"/>
        <v>0</v>
      </c>
      <c r="O4" s="53">
        <f t="shared" si="0"/>
        <v>0</v>
      </c>
      <c r="P4" s="51">
        <v>0</v>
      </c>
      <c r="Q4" s="52">
        <v>0</v>
      </c>
      <c r="R4">
        <f t="shared" ref="R4:R16" si="1">Q4*C4</f>
        <v>0</v>
      </c>
      <c r="S4" s="48">
        <f t="shared" ref="S4:S16" si="2">R4*D4</f>
        <v>0</v>
      </c>
    </row>
    <row r="5" spans="1:19" ht="18" customHeight="1" x14ac:dyDescent="0.2">
      <c r="A5" s="7" t="s">
        <v>30</v>
      </c>
      <c r="B5" s="42" t="s">
        <v>64</v>
      </c>
      <c r="C5" s="7">
        <v>78.599999999999994</v>
      </c>
      <c r="D5" s="7">
        <v>12.15</v>
      </c>
      <c r="E5" s="51">
        <v>0</v>
      </c>
      <c r="F5" s="51">
        <v>0</v>
      </c>
      <c r="G5" s="51">
        <v>0</v>
      </c>
      <c r="H5" s="54">
        <f>$Q5</f>
        <v>0</v>
      </c>
      <c r="I5" s="54">
        <f t="shared" si="0"/>
        <v>0</v>
      </c>
      <c r="J5" s="54">
        <f t="shared" si="0"/>
        <v>0</v>
      </c>
      <c r="K5" s="54">
        <f t="shared" si="0"/>
        <v>0</v>
      </c>
      <c r="L5" s="54">
        <f t="shared" si="0"/>
        <v>0</v>
      </c>
      <c r="M5" s="54">
        <f t="shared" si="0"/>
        <v>0</v>
      </c>
      <c r="N5" s="51">
        <v>0</v>
      </c>
      <c r="O5" s="51">
        <v>0</v>
      </c>
      <c r="P5" s="51">
        <v>0</v>
      </c>
      <c r="Q5" s="52">
        <v>0</v>
      </c>
      <c r="R5">
        <f t="shared" si="1"/>
        <v>0</v>
      </c>
      <c r="S5" s="48">
        <f t="shared" si="2"/>
        <v>0</v>
      </c>
    </row>
    <row r="6" spans="1:19" ht="18" customHeight="1" x14ac:dyDescent="0.2">
      <c r="A6" s="7" t="s">
        <v>29</v>
      </c>
      <c r="B6" s="42" t="s">
        <v>65</v>
      </c>
      <c r="C6" s="7">
        <v>39.29</v>
      </c>
      <c r="D6" s="7">
        <v>12.2</v>
      </c>
      <c r="E6" s="51">
        <v>0</v>
      </c>
      <c r="F6" s="51">
        <v>0</v>
      </c>
      <c r="G6" s="51">
        <v>0</v>
      </c>
      <c r="H6" s="53">
        <f>$Q6</f>
        <v>0</v>
      </c>
      <c r="I6" s="53">
        <f t="shared" si="0"/>
        <v>0</v>
      </c>
      <c r="J6" s="53">
        <f t="shared" si="0"/>
        <v>0</v>
      </c>
      <c r="K6" s="53">
        <f t="shared" si="0"/>
        <v>0</v>
      </c>
      <c r="L6" s="53">
        <f t="shared" si="0"/>
        <v>0</v>
      </c>
      <c r="M6" s="53">
        <f t="shared" si="0"/>
        <v>0</v>
      </c>
      <c r="N6" s="53">
        <f t="shared" si="0"/>
        <v>0</v>
      </c>
      <c r="O6" s="51">
        <v>0</v>
      </c>
      <c r="P6" s="51">
        <v>0</v>
      </c>
      <c r="Q6" s="52">
        <v>0</v>
      </c>
      <c r="R6">
        <f t="shared" si="1"/>
        <v>0</v>
      </c>
      <c r="S6" s="48">
        <f t="shared" si="2"/>
        <v>0</v>
      </c>
    </row>
    <row r="7" spans="1:19" ht="18" customHeight="1" x14ac:dyDescent="0.2">
      <c r="A7" s="7" t="s">
        <v>26</v>
      </c>
      <c r="B7" s="42" t="s">
        <v>66</v>
      </c>
      <c r="C7" s="7">
        <v>625</v>
      </c>
      <c r="D7" s="7">
        <v>10.3</v>
      </c>
      <c r="E7" s="51">
        <v>0</v>
      </c>
      <c r="F7" s="51">
        <v>0</v>
      </c>
      <c r="G7" s="51">
        <v>0</v>
      </c>
      <c r="H7" s="54">
        <f>$Q7</f>
        <v>0</v>
      </c>
      <c r="I7" s="54">
        <f t="shared" si="0"/>
        <v>0</v>
      </c>
      <c r="J7" s="54">
        <f t="shared" si="0"/>
        <v>0</v>
      </c>
      <c r="K7" s="54">
        <f t="shared" si="0"/>
        <v>0</v>
      </c>
      <c r="L7" s="54">
        <f t="shared" si="0"/>
        <v>0</v>
      </c>
      <c r="M7" s="54">
        <f t="shared" si="0"/>
        <v>0</v>
      </c>
      <c r="N7" s="54">
        <f t="shared" si="0"/>
        <v>0</v>
      </c>
      <c r="O7" s="51">
        <v>0</v>
      </c>
      <c r="P7" s="51">
        <v>0</v>
      </c>
      <c r="Q7" s="52">
        <v>0</v>
      </c>
      <c r="R7">
        <f t="shared" si="1"/>
        <v>0</v>
      </c>
      <c r="S7" s="48">
        <f t="shared" si="2"/>
        <v>0</v>
      </c>
    </row>
    <row r="8" spans="1:19" ht="18" customHeight="1" x14ac:dyDescent="0.2">
      <c r="A8" s="7" t="s">
        <v>33</v>
      </c>
      <c r="B8" s="42" t="s">
        <v>67</v>
      </c>
      <c r="C8" s="7">
        <v>42</v>
      </c>
      <c r="D8" s="7">
        <v>9.08</v>
      </c>
      <c r="E8" s="51">
        <v>0</v>
      </c>
      <c r="F8" s="51">
        <v>0</v>
      </c>
      <c r="G8" s="51">
        <v>0</v>
      </c>
      <c r="H8" s="53">
        <f t="shared" ref="H8:H9" si="3">$Q8</f>
        <v>0</v>
      </c>
      <c r="I8" s="53">
        <f t="shared" si="0"/>
        <v>0</v>
      </c>
      <c r="J8" s="53">
        <f t="shared" si="0"/>
        <v>0</v>
      </c>
      <c r="K8" s="53">
        <f t="shared" si="0"/>
        <v>0</v>
      </c>
      <c r="L8" s="51">
        <v>0</v>
      </c>
      <c r="M8" s="51">
        <v>0</v>
      </c>
      <c r="N8" s="51">
        <v>0</v>
      </c>
      <c r="O8" s="51">
        <v>0</v>
      </c>
      <c r="P8" s="51">
        <v>0</v>
      </c>
      <c r="Q8" s="52">
        <v>0</v>
      </c>
      <c r="R8">
        <f t="shared" si="1"/>
        <v>0</v>
      </c>
      <c r="S8" s="48">
        <f t="shared" si="2"/>
        <v>0</v>
      </c>
    </row>
    <row r="9" spans="1:19" ht="18" customHeight="1" x14ac:dyDescent="0.2">
      <c r="A9" s="7" t="s">
        <v>32</v>
      </c>
      <c r="B9" s="42" t="s">
        <v>68</v>
      </c>
      <c r="C9" s="7">
        <v>42</v>
      </c>
      <c r="D9" s="7">
        <v>9.08</v>
      </c>
      <c r="E9" s="55">
        <f>$Q9</f>
        <v>0</v>
      </c>
      <c r="F9" s="55">
        <f t="shared" ref="F9:G9" si="4">$Q9</f>
        <v>0</v>
      </c>
      <c r="G9" s="55">
        <f t="shared" si="4"/>
        <v>0</v>
      </c>
      <c r="H9" s="55">
        <f t="shared" si="3"/>
        <v>0</v>
      </c>
      <c r="I9" s="55">
        <f t="shared" si="0"/>
        <v>0</v>
      </c>
      <c r="J9" s="55">
        <f t="shared" si="0"/>
        <v>0</v>
      </c>
      <c r="K9" s="55">
        <f t="shared" si="0"/>
        <v>0</v>
      </c>
      <c r="L9" s="51">
        <v>0</v>
      </c>
      <c r="M9" s="51">
        <v>0</v>
      </c>
      <c r="N9" s="55">
        <f t="shared" si="0"/>
        <v>0</v>
      </c>
      <c r="O9" s="55">
        <f t="shared" si="0"/>
        <v>0</v>
      </c>
      <c r="P9" s="55">
        <f t="shared" si="0"/>
        <v>0</v>
      </c>
      <c r="Q9" s="52">
        <v>0</v>
      </c>
      <c r="R9">
        <f t="shared" si="1"/>
        <v>0</v>
      </c>
      <c r="S9" s="48">
        <f t="shared" si="2"/>
        <v>0</v>
      </c>
    </row>
    <row r="10" spans="1:19" ht="18" customHeight="1" x14ac:dyDescent="0.2">
      <c r="A10" s="7" t="s">
        <v>23</v>
      </c>
      <c r="B10" s="42" t="s">
        <v>69</v>
      </c>
      <c r="C10" s="7">
        <v>120</v>
      </c>
      <c r="D10" s="7">
        <v>15.8</v>
      </c>
      <c r="E10" s="51">
        <v>0</v>
      </c>
      <c r="F10" s="51">
        <v>0</v>
      </c>
      <c r="G10" s="51">
        <v>0</v>
      </c>
      <c r="H10" s="51">
        <v>0</v>
      </c>
      <c r="I10" s="53">
        <f t="shared" si="0"/>
        <v>0</v>
      </c>
      <c r="J10" s="53">
        <f t="shared" si="0"/>
        <v>0</v>
      </c>
      <c r="K10" s="53">
        <f t="shared" si="0"/>
        <v>0</v>
      </c>
      <c r="L10" s="53">
        <f t="shared" si="0"/>
        <v>0</v>
      </c>
      <c r="M10" s="53">
        <f t="shared" si="0"/>
        <v>0</v>
      </c>
      <c r="N10" s="51">
        <v>0</v>
      </c>
      <c r="O10" s="51">
        <v>0</v>
      </c>
      <c r="P10" s="51">
        <v>0</v>
      </c>
      <c r="Q10" s="52">
        <v>0</v>
      </c>
      <c r="R10">
        <f t="shared" si="1"/>
        <v>0</v>
      </c>
      <c r="S10" s="48">
        <f t="shared" si="2"/>
        <v>0</v>
      </c>
    </row>
    <row r="11" spans="1:19" ht="18" customHeight="1" x14ac:dyDescent="0.2">
      <c r="A11" s="7" t="s">
        <v>28</v>
      </c>
      <c r="B11" s="42" t="s">
        <v>70</v>
      </c>
      <c r="C11" s="7">
        <v>200</v>
      </c>
      <c r="D11" s="7">
        <v>11.4</v>
      </c>
      <c r="E11" s="51">
        <v>0</v>
      </c>
      <c r="F11" s="51">
        <v>0</v>
      </c>
      <c r="G11" s="51">
        <v>0</v>
      </c>
      <c r="H11" s="55">
        <f t="shared" si="0"/>
        <v>0</v>
      </c>
      <c r="I11" s="55">
        <f t="shared" si="0"/>
        <v>0</v>
      </c>
      <c r="J11" s="55">
        <f t="shared" si="0"/>
        <v>0</v>
      </c>
      <c r="K11" s="55">
        <f t="shared" si="0"/>
        <v>0</v>
      </c>
      <c r="L11" s="55">
        <f t="shared" si="0"/>
        <v>0</v>
      </c>
      <c r="M11" s="55">
        <f t="shared" si="0"/>
        <v>0</v>
      </c>
      <c r="N11" s="51">
        <v>0</v>
      </c>
      <c r="O11" s="51">
        <v>0</v>
      </c>
      <c r="P11" s="51">
        <v>0</v>
      </c>
      <c r="Q11" s="52">
        <v>0</v>
      </c>
      <c r="R11">
        <f t="shared" si="1"/>
        <v>0</v>
      </c>
      <c r="S11" s="48">
        <f t="shared" si="2"/>
        <v>0</v>
      </c>
    </row>
    <row r="12" spans="1:19" ht="18" customHeight="1" x14ac:dyDescent="0.2">
      <c r="A12" s="7" t="s">
        <v>24</v>
      </c>
      <c r="B12" s="42" t="s">
        <v>71</v>
      </c>
      <c r="C12" s="7">
        <v>641</v>
      </c>
      <c r="D12" s="7">
        <v>18.3</v>
      </c>
      <c r="E12" s="51">
        <v>0</v>
      </c>
      <c r="F12" s="51">
        <v>0</v>
      </c>
      <c r="G12" s="53">
        <f t="shared" ref="G12:L12" si="5">$Q12</f>
        <v>0</v>
      </c>
      <c r="H12" s="53">
        <f t="shared" si="5"/>
        <v>0</v>
      </c>
      <c r="I12" s="53">
        <f t="shared" si="5"/>
        <v>0</v>
      </c>
      <c r="J12" s="53">
        <f t="shared" si="5"/>
        <v>0</v>
      </c>
      <c r="K12" s="53">
        <f t="shared" si="5"/>
        <v>0</v>
      </c>
      <c r="L12" s="53">
        <f t="shared" si="5"/>
        <v>0</v>
      </c>
      <c r="M12" s="51">
        <v>0</v>
      </c>
      <c r="N12" s="51">
        <v>0</v>
      </c>
      <c r="O12" s="51">
        <v>0</v>
      </c>
      <c r="P12" s="51">
        <v>0</v>
      </c>
      <c r="Q12" s="52">
        <v>0</v>
      </c>
      <c r="R12">
        <f>Q12*C12</f>
        <v>0</v>
      </c>
      <c r="S12" s="48">
        <f>R12*D12</f>
        <v>0</v>
      </c>
    </row>
    <row r="13" spans="1:19" ht="18" customHeight="1" x14ac:dyDescent="0.2">
      <c r="A13" s="7" t="s">
        <v>27</v>
      </c>
      <c r="B13" s="42" t="s">
        <v>72</v>
      </c>
      <c r="C13" s="7">
        <v>175</v>
      </c>
      <c r="D13" s="7">
        <v>16.100000000000001</v>
      </c>
      <c r="E13" s="51">
        <v>0</v>
      </c>
      <c r="F13" s="51">
        <v>0</v>
      </c>
      <c r="G13" s="51">
        <v>0</v>
      </c>
      <c r="H13" s="51">
        <v>0</v>
      </c>
      <c r="I13" s="55">
        <f t="shared" si="0"/>
        <v>0</v>
      </c>
      <c r="J13" s="55">
        <f t="shared" si="0"/>
        <v>0</v>
      </c>
      <c r="K13" s="55">
        <f t="shared" si="0"/>
        <v>0</v>
      </c>
      <c r="L13" s="55">
        <f t="shared" si="0"/>
        <v>0</v>
      </c>
      <c r="M13" s="55">
        <f t="shared" si="0"/>
        <v>0</v>
      </c>
      <c r="N13" s="51">
        <v>0</v>
      </c>
      <c r="O13" s="51">
        <v>0</v>
      </c>
      <c r="P13" s="51">
        <v>0</v>
      </c>
      <c r="Q13" s="52">
        <v>0</v>
      </c>
      <c r="R13">
        <f t="shared" si="1"/>
        <v>0</v>
      </c>
      <c r="S13" s="48">
        <f t="shared" si="2"/>
        <v>0</v>
      </c>
    </row>
    <row r="14" spans="1:19" ht="18" customHeight="1" x14ac:dyDescent="0.2">
      <c r="A14" s="7" t="s">
        <v>79</v>
      </c>
      <c r="B14" s="42" t="s">
        <v>73</v>
      </c>
      <c r="C14" s="7">
        <v>31</v>
      </c>
      <c r="D14" s="7">
        <v>15.4</v>
      </c>
      <c r="E14" s="51">
        <v>0</v>
      </c>
      <c r="F14" s="51">
        <v>0</v>
      </c>
      <c r="G14" s="51">
        <v>0</v>
      </c>
      <c r="H14" s="53">
        <f t="shared" ref="H14" si="6">$Q14</f>
        <v>0</v>
      </c>
      <c r="I14" s="53">
        <f t="shared" si="0"/>
        <v>0</v>
      </c>
      <c r="J14" s="53">
        <f t="shared" si="0"/>
        <v>0</v>
      </c>
      <c r="K14" s="51">
        <v>0</v>
      </c>
      <c r="L14" s="56">
        <v>0</v>
      </c>
      <c r="M14" s="56">
        <v>0</v>
      </c>
      <c r="N14" s="56">
        <v>0</v>
      </c>
      <c r="O14" s="51">
        <v>0</v>
      </c>
      <c r="P14" s="51">
        <v>0</v>
      </c>
      <c r="Q14" s="52">
        <v>0</v>
      </c>
      <c r="R14">
        <f t="shared" si="1"/>
        <v>0</v>
      </c>
      <c r="S14" s="48">
        <f t="shared" si="2"/>
        <v>0</v>
      </c>
    </row>
    <row r="15" spans="1:19" ht="18" customHeight="1" x14ac:dyDescent="0.2">
      <c r="A15" s="7" t="s">
        <v>80</v>
      </c>
      <c r="B15" s="42" t="s">
        <v>74</v>
      </c>
      <c r="C15" s="7">
        <v>31</v>
      </c>
      <c r="D15" s="7">
        <v>15.4</v>
      </c>
      <c r="E15" s="51">
        <v>0</v>
      </c>
      <c r="F15" s="51">
        <v>0</v>
      </c>
      <c r="G15" s="51">
        <v>0</v>
      </c>
      <c r="H15" s="56">
        <v>0</v>
      </c>
      <c r="I15" s="56">
        <v>0</v>
      </c>
      <c r="J15" s="56">
        <v>0</v>
      </c>
      <c r="K15" s="51">
        <v>0</v>
      </c>
      <c r="L15" s="55">
        <f t="shared" si="0"/>
        <v>0</v>
      </c>
      <c r="M15" s="55">
        <f t="shared" si="0"/>
        <v>0</v>
      </c>
      <c r="N15" s="55">
        <f t="shared" si="0"/>
        <v>0</v>
      </c>
      <c r="O15" s="51">
        <v>0</v>
      </c>
      <c r="P15" s="51">
        <v>0</v>
      </c>
      <c r="Q15" s="52">
        <v>0</v>
      </c>
      <c r="R15">
        <f t="shared" si="1"/>
        <v>0</v>
      </c>
      <c r="S15" s="48">
        <f t="shared" si="2"/>
        <v>0</v>
      </c>
    </row>
    <row r="16" spans="1:19" ht="18" customHeight="1" x14ac:dyDescent="0.2">
      <c r="A16" s="7" t="s">
        <v>34</v>
      </c>
      <c r="B16" s="42" t="s">
        <v>81</v>
      </c>
      <c r="C16" s="7">
        <v>15.46</v>
      </c>
      <c r="D16" s="7">
        <v>5.178E-2</v>
      </c>
      <c r="E16" s="51">
        <v>0</v>
      </c>
      <c r="F16" s="51">
        <v>0</v>
      </c>
      <c r="G16" s="53">
        <f t="shared" ref="G16:K16" si="7">$Q16</f>
        <v>0</v>
      </c>
      <c r="H16" s="53">
        <f t="shared" si="7"/>
        <v>0</v>
      </c>
      <c r="I16" s="53">
        <f t="shared" si="7"/>
        <v>0</v>
      </c>
      <c r="J16" s="53">
        <f t="shared" si="7"/>
        <v>0</v>
      </c>
      <c r="K16" s="53">
        <f t="shared" si="7"/>
        <v>0</v>
      </c>
      <c r="L16" s="53">
        <f t="shared" si="0"/>
        <v>0</v>
      </c>
      <c r="M16" s="56">
        <v>0</v>
      </c>
      <c r="N16" s="56">
        <v>0</v>
      </c>
      <c r="O16" s="51">
        <v>0</v>
      </c>
      <c r="P16" s="51">
        <v>0</v>
      </c>
      <c r="Q16" s="52">
        <v>0</v>
      </c>
      <c r="R16">
        <f t="shared" si="1"/>
        <v>0</v>
      </c>
      <c r="S16" s="48">
        <f t="shared" si="2"/>
        <v>0</v>
      </c>
    </row>
    <row r="17" spans="1:19" ht="18" customHeight="1" x14ac:dyDescent="0.2">
      <c r="E17" s="57">
        <f>SUM(E3:E16)</f>
        <v>0</v>
      </c>
      <c r="F17" s="57">
        <f t="shared" ref="F17:P17" si="8">SUM(F3:F16)</f>
        <v>0</v>
      </c>
      <c r="G17" s="57">
        <f t="shared" si="8"/>
        <v>0</v>
      </c>
      <c r="H17" s="57">
        <f t="shared" si="8"/>
        <v>0</v>
      </c>
      <c r="I17" s="57">
        <f t="shared" si="8"/>
        <v>0</v>
      </c>
      <c r="J17" s="57">
        <f t="shared" si="8"/>
        <v>0</v>
      </c>
      <c r="K17" s="57">
        <f t="shared" si="8"/>
        <v>0</v>
      </c>
      <c r="L17" s="57">
        <f t="shared" si="8"/>
        <v>0</v>
      </c>
      <c r="M17" s="57">
        <f t="shared" si="8"/>
        <v>0</v>
      </c>
      <c r="N17" s="57">
        <f t="shared" si="8"/>
        <v>0</v>
      </c>
      <c r="O17" s="57">
        <f t="shared" si="8"/>
        <v>0</v>
      </c>
      <c r="P17" s="57">
        <f t="shared" si="8"/>
        <v>0</v>
      </c>
      <c r="Q17" s="58"/>
      <c r="S17" s="49">
        <f>SUM(S3:S16)</f>
        <v>0</v>
      </c>
    </row>
    <row r="18" spans="1:19" ht="18" customHeight="1" x14ac:dyDescent="0.2">
      <c r="A18" s="46" t="s">
        <v>92</v>
      </c>
      <c r="B18" s="47">
        <v>430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367D-7897-544B-AF0C-4032D5BE96D2}">
  <dimension ref="A2:T19"/>
  <sheetViews>
    <sheetView tabSelected="1" zoomScale="81" zoomScaleNormal="70" workbookViewId="0">
      <selection activeCell="O31" sqref="O31"/>
    </sheetView>
  </sheetViews>
  <sheetFormatPr baseColWidth="10" defaultRowHeight="18" customHeight="1" x14ac:dyDescent="0.2"/>
  <cols>
    <col min="1" max="1" width="15.1640625" bestFit="1" customWidth="1"/>
    <col min="2" max="2" width="7.83203125" bestFit="1" customWidth="1"/>
    <col min="3" max="3" width="7.6640625" bestFit="1" customWidth="1"/>
    <col min="4" max="4" width="8.33203125" customWidth="1"/>
    <col min="5" max="16" width="4.83203125" customWidth="1"/>
    <col min="17" max="18" width="11" bestFit="1" customWidth="1"/>
    <col min="19" max="19" width="11" customWidth="1"/>
    <col min="20" max="20" width="14.83203125" bestFit="1" customWidth="1"/>
  </cols>
  <sheetData>
    <row r="2" spans="1:20" ht="18" customHeight="1" x14ac:dyDescent="0.2">
      <c r="A2" s="5" t="s">
        <v>20</v>
      </c>
      <c r="B2" s="5" t="s">
        <v>61</v>
      </c>
      <c r="C2" s="5" t="s">
        <v>84</v>
      </c>
      <c r="D2" s="5" t="s">
        <v>93</v>
      </c>
      <c r="E2" s="5" t="s">
        <v>39</v>
      </c>
      <c r="F2" s="5" t="s">
        <v>40</v>
      </c>
      <c r="G2" s="26" t="s">
        <v>41</v>
      </c>
      <c r="H2" s="5" t="s">
        <v>42</v>
      </c>
      <c r="I2" s="5" t="s">
        <v>43</v>
      </c>
      <c r="J2" s="5" t="s">
        <v>44</v>
      </c>
      <c r="K2" s="5" t="s">
        <v>45</v>
      </c>
      <c r="L2" s="5" t="s">
        <v>46</v>
      </c>
      <c r="M2" s="5" t="s">
        <v>47</v>
      </c>
      <c r="N2" s="5" t="s">
        <v>48</v>
      </c>
      <c r="O2" s="5" t="s">
        <v>49</v>
      </c>
      <c r="P2" s="5" t="s">
        <v>50</v>
      </c>
      <c r="Q2" s="5" t="s">
        <v>90</v>
      </c>
      <c r="R2" s="5" t="s">
        <v>91</v>
      </c>
      <c r="S2" s="5" t="s">
        <v>94</v>
      </c>
      <c r="T2" s="5" t="s">
        <v>95</v>
      </c>
    </row>
    <row r="3" spans="1:20" ht="18" customHeight="1" x14ac:dyDescent="0.2">
      <c r="A3" s="7" t="s">
        <v>35</v>
      </c>
      <c r="B3" s="42" t="s">
        <v>62</v>
      </c>
      <c r="C3" s="7">
        <v>22.6</v>
      </c>
      <c r="D3" s="7">
        <v>9.27</v>
      </c>
      <c r="E3" s="51">
        <v>0</v>
      </c>
      <c r="F3" s="51">
        <v>0</v>
      </c>
      <c r="G3" s="50">
        <f>$Q3</f>
        <v>0</v>
      </c>
      <c r="H3" s="50">
        <f t="shared" ref="H3:P16" si="0">$Q3</f>
        <v>0</v>
      </c>
      <c r="I3" s="50">
        <f t="shared" si="0"/>
        <v>0</v>
      </c>
      <c r="J3" s="50">
        <f t="shared" si="0"/>
        <v>0</v>
      </c>
      <c r="K3" s="50">
        <f t="shared" si="0"/>
        <v>0</v>
      </c>
      <c r="L3" s="50">
        <f t="shared" si="0"/>
        <v>0</v>
      </c>
      <c r="M3" s="51">
        <v>0</v>
      </c>
      <c r="N3" s="51">
        <v>0</v>
      </c>
      <c r="O3" s="51">
        <v>0</v>
      </c>
      <c r="P3" s="51">
        <v>0</v>
      </c>
      <c r="Q3" s="52">
        <v>0</v>
      </c>
      <c r="R3">
        <f>Q3*C3</f>
        <v>0</v>
      </c>
      <c r="S3" s="59">
        <f>C3*50</f>
        <v>1130</v>
      </c>
      <c r="T3" s="48">
        <f t="shared" ref="T3:T16" si="1">R3*D3</f>
        <v>0</v>
      </c>
    </row>
    <row r="4" spans="1:20" ht="18" customHeight="1" x14ac:dyDescent="0.2">
      <c r="A4" s="7" t="s">
        <v>31</v>
      </c>
      <c r="B4" s="42" t="s">
        <v>63</v>
      </c>
      <c r="C4" s="7">
        <v>116.5</v>
      </c>
      <c r="D4" s="7">
        <v>9.91</v>
      </c>
      <c r="E4" s="51">
        <v>0</v>
      </c>
      <c r="F4" s="51">
        <v>0</v>
      </c>
      <c r="G4" s="51">
        <v>0</v>
      </c>
      <c r="H4" s="53">
        <f>$Q4</f>
        <v>50</v>
      </c>
      <c r="I4" s="53">
        <f t="shared" si="0"/>
        <v>50</v>
      </c>
      <c r="J4" s="53">
        <f t="shared" si="0"/>
        <v>50</v>
      </c>
      <c r="K4" s="53">
        <f t="shared" si="0"/>
        <v>50</v>
      </c>
      <c r="L4" s="53">
        <f t="shared" si="0"/>
        <v>50</v>
      </c>
      <c r="M4" s="53">
        <f t="shared" si="0"/>
        <v>50</v>
      </c>
      <c r="N4" s="53">
        <f t="shared" si="0"/>
        <v>50</v>
      </c>
      <c r="O4" s="53">
        <f t="shared" si="0"/>
        <v>50</v>
      </c>
      <c r="P4" s="51">
        <v>0</v>
      </c>
      <c r="Q4" s="52">
        <v>50</v>
      </c>
      <c r="R4">
        <f t="shared" ref="R4:R16" si="2">Q4*C4</f>
        <v>5825</v>
      </c>
      <c r="S4" s="59">
        <f t="shared" ref="S4:S16" si="3">C4*50</f>
        <v>5825</v>
      </c>
      <c r="T4" s="48">
        <f t="shared" si="1"/>
        <v>57725.75</v>
      </c>
    </row>
    <row r="5" spans="1:20" ht="18" customHeight="1" x14ac:dyDescent="0.2">
      <c r="A5" s="7" t="s">
        <v>30</v>
      </c>
      <c r="B5" s="42" t="s">
        <v>64</v>
      </c>
      <c r="C5" s="7">
        <v>78.599999999999994</v>
      </c>
      <c r="D5" s="7">
        <v>12.15</v>
      </c>
      <c r="E5" s="51">
        <v>0</v>
      </c>
      <c r="F5" s="51">
        <v>0</v>
      </c>
      <c r="G5" s="51">
        <v>0</v>
      </c>
      <c r="H5" s="54">
        <f>$Q5</f>
        <v>50</v>
      </c>
      <c r="I5" s="54">
        <f t="shared" si="0"/>
        <v>50</v>
      </c>
      <c r="J5" s="54">
        <f t="shared" si="0"/>
        <v>50</v>
      </c>
      <c r="K5" s="54">
        <f t="shared" si="0"/>
        <v>50</v>
      </c>
      <c r="L5" s="54">
        <f t="shared" si="0"/>
        <v>50</v>
      </c>
      <c r="M5" s="54">
        <f t="shared" si="0"/>
        <v>50</v>
      </c>
      <c r="N5" s="51">
        <v>0</v>
      </c>
      <c r="O5" s="51">
        <v>0</v>
      </c>
      <c r="P5" s="51">
        <v>0</v>
      </c>
      <c r="Q5" s="52">
        <v>50</v>
      </c>
      <c r="R5">
        <f t="shared" si="2"/>
        <v>3929.9999999999995</v>
      </c>
      <c r="S5" s="59">
        <f t="shared" si="3"/>
        <v>3929.9999999999995</v>
      </c>
      <c r="T5" s="48">
        <f t="shared" si="1"/>
        <v>47749.499999999993</v>
      </c>
    </row>
    <row r="6" spans="1:20" ht="18" customHeight="1" x14ac:dyDescent="0.2">
      <c r="A6" s="7" t="s">
        <v>29</v>
      </c>
      <c r="B6" s="42" t="s">
        <v>65</v>
      </c>
      <c r="C6" s="7">
        <v>39.29</v>
      </c>
      <c r="D6" s="7">
        <v>12.2</v>
      </c>
      <c r="E6" s="51">
        <v>0</v>
      </c>
      <c r="F6" s="51">
        <v>0</v>
      </c>
      <c r="G6" s="51">
        <v>0</v>
      </c>
      <c r="H6" s="53">
        <f>$Q6</f>
        <v>30</v>
      </c>
      <c r="I6" s="53">
        <f t="shared" si="0"/>
        <v>30</v>
      </c>
      <c r="J6" s="53">
        <f t="shared" si="0"/>
        <v>30</v>
      </c>
      <c r="K6" s="53">
        <f t="shared" si="0"/>
        <v>30</v>
      </c>
      <c r="L6" s="53">
        <f t="shared" si="0"/>
        <v>30</v>
      </c>
      <c r="M6" s="53">
        <f t="shared" si="0"/>
        <v>30</v>
      </c>
      <c r="N6" s="53">
        <f t="shared" si="0"/>
        <v>30</v>
      </c>
      <c r="O6" s="51">
        <v>0</v>
      </c>
      <c r="P6" s="51">
        <v>0</v>
      </c>
      <c r="Q6" s="52">
        <v>30</v>
      </c>
      <c r="R6">
        <f t="shared" si="2"/>
        <v>1178.7</v>
      </c>
      <c r="S6" s="59">
        <f t="shared" si="3"/>
        <v>1964.5</v>
      </c>
      <c r="T6" s="48">
        <f t="shared" si="1"/>
        <v>14380.14</v>
      </c>
    </row>
    <row r="7" spans="1:20" ht="18" customHeight="1" x14ac:dyDescent="0.2">
      <c r="A7" s="7" t="s">
        <v>26</v>
      </c>
      <c r="B7" s="42" t="s">
        <v>66</v>
      </c>
      <c r="C7" s="7">
        <v>625</v>
      </c>
      <c r="D7" s="7">
        <v>10.3</v>
      </c>
      <c r="E7" s="51">
        <v>0</v>
      </c>
      <c r="F7" s="51">
        <v>0</v>
      </c>
      <c r="G7" s="51">
        <v>0</v>
      </c>
      <c r="H7" s="54">
        <f>$Q7</f>
        <v>50</v>
      </c>
      <c r="I7" s="54">
        <f t="shared" si="0"/>
        <v>50</v>
      </c>
      <c r="J7" s="54">
        <f t="shared" si="0"/>
        <v>50</v>
      </c>
      <c r="K7" s="54">
        <f t="shared" si="0"/>
        <v>50</v>
      </c>
      <c r="L7" s="54">
        <f t="shared" si="0"/>
        <v>50</v>
      </c>
      <c r="M7" s="54">
        <f t="shared" si="0"/>
        <v>50</v>
      </c>
      <c r="N7" s="54">
        <f t="shared" si="0"/>
        <v>50</v>
      </c>
      <c r="O7" s="51">
        <v>0</v>
      </c>
      <c r="P7" s="51">
        <v>0</v>
      </c>
      <c r="Q7" s="52">
        <v>50</v>
      </c>
      <c r="R7">
        <f t="shared" si="2"/>
        <v>31250</v>
      </c>
      <c r="S7" s="59">
        <f t="shared" si="3"/>
        <v>31250</v>
      </c>
      <c r="T7" s="48">
        <f t="shared" si="1"/>
        <v>321875</v>
      </c>
    </row>
    <row r="8" spans="1:20" ht="18" customHeight="1" x14ac:dyDescent="0.2">
      <c r="A8" s="7" t="s">
        <v>33</v>
      </c>
      <c r="B8" s="42" t="s">
        <v>67</v>
      </c>
      <c r="C8" s="7">
        <v>42</v>
      </c>
      <c r="D8" s="7">
        <v>9.08</v>
      </c>
      <c r="E8" s="51">
        <v>0</v>
      </c>
      <c r="F8" s="51">
        <v>0</v>
      </c>
      <c r="G8" s="51">
        <v>0</v>
      </c>
      <c r="H8" s="53">
        <f t="shared" ref="H8:H9" si="4">$Q8</f>
        <v>0</v>
      </c>
      <c r="I8" s="53">
        <f t="shared" si="0"/>
        <v>0</v>
      </c>
      <c r="J8" s="53">
        <f t="shared" si="0"/>
        <v>0</v>
      </c>
      <c r="K8" s="53">
        <f t="shared" si="0"/>
        <v>0</v>
      </c>
      <c r="L8" s="51">
        <v>0</v>
      </c>
      <c r="M8" s="51">
        <v>0</v>
      </c>
      <c r="N8" s="51">
        <v>0</v>
      </c>
      <c r="O8" s="51">
        <v>0</v>
      </c>
      <c r="P8" s="51">
        <v>0</v>
      </c>
      <c r="Q8" s="52">
        <v>0</v>
      </c>
      <c r="R8">
        <f t="shared" si="2"/>
        <v>0</v>
      </c>
      <c r="S8" s="59">
        <f t="shared" si="3"/>
        <v>2100</v>
      </c>
      <c r="T8" s="48">
        <f t="shared" si="1"/>
        <v>0</v>
      </c>
    </row>
    <row r="9" spans="1:20" ht="18" customHeight="1" x14ac:dyDescent="0.2">
      <c r="A9" s="7" t="s">
        <v>32</v>
      </c>
      <c r="B9" s="42" t="s">
        <v>68</v>
      </c>
      <c r="C9" s="7">
        <v>42</v>
      </c>
      <c r="D9" s="7">
        <v>9.08</v>
      </c>
      <c r="E9" s="55">
        <f>$Q9</f>
        <v>0</v>
      </c>
      <c r="F9" s="55">
        <f t="shared" ref="F9:G9" si="5">$Q9</f>
        <v>0</v>
      </c>
      <c r="G9" s="55">
        <f t="shared" si="5"/>
        <v>0</v>
      </c>
      <c r="H9" s="55">
        <f t="shared" si="4"/>
        <v>0</v>
      </c>
      <c r="I9" s="55">
        <f t="shared" si="0"/>
        <v>0</v>
      </c>
      <c r="J9" s="55">
        <f t="shared" si="0"/>
        <v>0</v>
      </c>
      <c r="K9" s="55">
        <f t="shared" si="0"/>
        <v>0</v>
      </c>
      <c r="L9" s="51">
        <v>0</v>
      </c>
      <c r="M9" s="51">
        <v>0</v>
      </c>
      <c r="N9" s="55">
        <f t="shared" si="0"/>
        <v>0</v>
      </c>
      <c r="O9" s="55">
        <f t="shared" si="0"/>
        <v>0</v>
      </c>
      <c r="P9" s="55">
        <f t="shared" si="0"/>
        <v>0</v>
      </c>
      <c r="Q9" s="52">
        <v>0</v>
      </c>
      <c r="R9">
        <f t="shared" si="2"/>
        <v>0</v>
      </c>
      <c r="S9" s="59">
        <f t="shared" si="3"/>
        <v>2100</v>
      </c>
      <c r="T9" s="48">
        <f t="shared" si="1"/>
        <v>0</v>
      </c>
    </row>
    <row r="10" spans="1:20" ht="18" customHeight="1" x14ac:dyDescent="0.2">
      <c r="A10" s="7" t="s">
        <v>23</v>
      </c>
      <c r="B10" s="42" t="s">
        <v>69</v>
      </c>
      <c r="C10" s="7">
        <v>120</v>
      </c>
      <c r="D10" s="7">
        <v>15.8</v>
      </c>
      <c r="E10" s="51">
        <v>0</v>
      </c>
      <c r="F10" s="51">
        <v>0</v>
      </c>
      <c r="G10" s="51">
        <v>0</v>
      </c>
      <c r="H10" s="51">
        <v>0</v>
      </c>
      <c r="I10" s="53">
        <f t="shared" si="0"/>
        <v>50</v>
      </c>
      <c r="J10" s="53">
        <f t="shared" si="0"/>
        <v>50</v>
      </c>
      <c r="K10" s="53">
        <f t="shared" si="0"/>
        <v>50</v>
      </c>
      <c r="L10" s="53">
        <f t="shared" si="0"/>
        <v>50</v>
      </c>
      <c r="M10" s="53">
        <f t="shared" si="0"/>
        <v>50</v>
      </c>
      <c r="N10" s="51">
        <v>0</v>
      </c>
      <c r="O10" s="51">
        <v>0</v>
      </c>
      <c r="P10" s="51">
        <v>0</v>
      </c>
      <c r="Q10" s="52">
        <v>50</v>
      </c>
      <c r="R10">
        <f t="shared" si="2"/>
        <v>6000</v>
      </c>
      <c r="S10" s="59">
        <f t="shared" si="3"/>
        <v>6000</v>
      </c>
      <c r="T10" s="48">
        <f t="shared" si="1"/>
        <v>94800</v>
      </c>
    </row>
    <row r="11" spans="1:20" ht="18" customHeight="1" x14ac:dyDescent="0.2">
      <c r="A11" s="7" t="s">
        <v>28</v>
      </c>
      <c r="B11" s="42" t="s">
        <v>70</v>
      </c>
      <c r="C11" s="7">
        <v>200</v>
      </c>
      <c r="D11" s="7">
        <v>11.4</v>
      </c>
      <c r="E11" s="51">
        <v>0</v>
      </c>
      <c r="F11" s="51">
        <v>0</v>
      </c>
      <c r="G11" s="51">
        <v>0</v>
      </c>
      <c r="H11" s="55">
        <f t="shared" si="0"/>
        <v>50</v>
      </c>
      <c r="I11" s="55">
        <f t="shared" si="0"/>
        <v>50</v>
      </c>
      <c r="J11" s="55">
        <f t="shared" si="0"/>
        <v>50</v>
      </c>
      <c r="K11" s="55">
        <f t="shared" si="0"/>
        <v>50</v>
      </c>
      <c r="L11" s="55">
        <f t="shared" si="0"/>
        <v>50</v>
      </c>
      <c r="M11" s="55">
        <f t="shared" si="0"/>
        <v>50</v>
      </c>
      <c r="N11" s="51">
        <v>0</v>
      </c>
      <c r="O11" s="51">
        <v>0</v>
      </c>
      <c r="P11" s="51">
        <v>0</v>
      </c>
      <c r="Q11" s="52">
        <v>50</v>
      </c>
      <c r="R11">
        <f t="shared" si="2"/>
        <v>10000</v>
      </c>
      <c r="S11" s="59">
        <f t="shared" si="3"/>
        <v>10000</v>
      </c>
      <c r="T11" s="48">
        <f t="shared" si="1"/>
        <v>114000</v>
      </c>
    </row>
    <row r="12" spans="1:20" ht="18" customHeight="1" x14ac:dyDescent="0.2">
      <c r="A12" s="7" t="s">
        <v>24</v>
      </c>
      <c r="B12" s="42" t="s">
        <v>71</v>
      </c>
      <c r="C12" s="7">
        <v>641</v>
      </c>
      <c r="D12" s="7">
        <v>18.3</v>
      </c>
      <c r="E12" s="51">
        <v>0</v>
      </c>
      <c r="F12" s="51">
        <v>0</v>
      </c>
      <c r="G12" s="53">
        <f t="shared" ref="G12:L12" si="6">$Q12</f>
        <v>50</v>
      </c>
      <c r="H12" s="53">
        <f t="shared" si="6"/>
        <v>50</v>
      </c>
      <c r="I12" s="53">
        <f t="shared" si="6"/>
        <v>50</v>
      </c>
      <c r="J12" s="53">
        <f t="shared" si="6"/>
        <v>50</v>
      </c>
      <c r="K12" s="53">
        <f t="shared" si="6"/>
        <v>50</v>
      </c>
      <c r="L12" s="53">
        <f t="shared" si="6"/>
        <v>50</v>
      </c>
      <c r="M12" s="51">
        <v>0</v>
      </c>
      <c r="N12" s="51">
        <v>0</v>
      </c>
      <c r="O12" s="51">
        <v>0</v>
      </c>
      <c r="P12" s="51">
        <v>0</v>
      </c>
      <c r="Q12" s="52">
        <v>50</v>
      </c>
      <c r="R12">
        <f>Q12*C12</f>
        <v>32050</v>
      </c>
      <c r="S12" s="59">
        <f t="shared" si="3"/>
        <v>32050</v>
      </c>
      <c r="T12" s="48">
        <f t="shared" si="1"/>
        <v>586515</v>
      </c>
    </row>
    <row r="13" spans="1:20" ht="18" customHeight="1" x14ac:dyDescent="0.2">
      <c r="A13" s="7" t="s">
        <v>27</v>
      </c>
      <c r="B13" s="42" t="s">
        <v>72</v>
      </c>
      <c r="C13" s="7">
        <v>175</v>
      </c>
      <c r="D13" s="7">
        <v>16.100000000000001</v>
      </c>
      <c r="E13" s="51">
        <v>0</v>
      </c>
      <c r="F13" s="51">
        <v>0</v>
      </c>
      <c r="G13" s="51">
        <v>0</v>
      </c>
      <c r="H13" s="51">
        <v>0</v>
      </c>
      <c r="I13" s="55">
        <f t="shared" si="0"/>
        <v>50</v>
      </c>
      <c r="J13" s="55">
        <f t="shared" si="0"/>
        <v>50</v>
      </c>
      <c r="K13" s="55">
        <f t="shared" si="0"/>
        <v>50</v>
      </c>
      <c r="L13" s="55">
        <f t="shared" si="0"/>
        <v>50</v>
      </c>
      <c r="M13" s="55">
        <f t="shared" si="0"/>
        <v>50</v>
      </c>
      <c r="N13" s="51">
        <v>0</v>
      </c>
      <c r="O13" s="51">
        <v>0</v>
      </c>
      <c r="P13" s="51">
        <v>0</v>
      </c>
      <c r="Q13" s="52">
        <v>50</v>
      </c>
      <c r="R13">
        <f t="shared" si="2"/>
        <v>8750</v>
      </c>
      <c r="S13" s="59">
        <f t="shared" si="3"/>
        <v>8750</v>
      </c>
      <c r="T13" s="48">
        <f t="shared" si="1"/>
        <v>140875</v>
      </c>
    </row>
    <row r="14" spans="1:20" ht="18" customHeight="1" x14ac:dyDescent="0.2">
      <c r="A14" s="7" t="s">
        <v>79</v>
      </c>
      <c r="B14" s="42" t="s">
        <v>73</v>
      </c>
      <c r="C14" s="7">
        <v>31</v>
      </c>
      <c r="D14" s="7">
        <v>15.4</v>
      </c>
      <c r="E14" s="51">
        <v>0</v>
      </c>
      <c r="F14" s="51">
        <v>0</v>
      </c>
      <c r="G14" s="51">
        <v>0</v>
      </c>
      <c r="H14" s="53">
        <f t="shared" ref="H14" si="7">$Q14</f>
        <v>50</v>
      </c>
      <c r="I14" s="53">
        <f t="shared" si="0"/>
        <v>50</v>
      </c>
      <c r="J14" s="53">
        <f t="shared" si="0"/>
        <v>50</v>
      </c>
      <c r="K14" s="51">
        <v>0</v>
      </c>
      <c r="L14" s="56">
        <v>0</v>
      </c>
      <c r="M14" s="56">
        <v>0</v>
      </c>
      <c r="N14" s="56">
        <v>0</v>
      </c>
      <c r="O14" s="51">
        <v>0</v>
      </c>
      <c r="P14" s="51">
        <v>0</v>
      </c>
      <c r="Q14" s="52">
        <v>50</v>
      </c>
      <c r="R14">
        <f t="shared" si="2"/>
        <v>1550</v>
      </c>
      <c r="S14" s="59">
        <f t="shared" si="3"/>
        <v>1550</v>
      </c>
      <c r="T14" s="48">
        <f t="shared" si="1"/>
        <v>23870</v>
      </c>
    </row>
    <row r="15" spans="1:20" ht="18" customHeight="1" x14ac:dyDescent="0.2">
      <c r="A15" s="7" t="s">
        <v>80</v>
      </c>
      <c r="B15" s="42" t="s">
        <v>74</v>
      </c>
      <c r="C15" s="7">
        <v>31</v>
      </c>
      <c r="D15" s="7">
        <v>15.4</v>
      </c>
      <c r="E15" s="51">
        <v>0</v>
      </c>
      <c r="F15" s="51">
        <v>0</v>
      </c>
      <c r="G15" s="51">
        <v>0</v>
      </c>
      <c r="H15" s="56">
        <v>0</v>
      </c>
      <c r="I15" s="56">
        <v>0</v>
      </c>
      <c r="J15" s="56">
        <v>0</v>
      </c>
      <c r="K15" s="51">
        <v>0</v>
      </c>
      <c r="L15" s="55">
        <f t="shared" si="0"/>
        <v>50</v>
      </c>
      <c r="M15" s="55">
        <f t="shared" si="0"/>
        <v>50</v>
      </c>
      <c r="N15" s="55">
        <f t="shared" si="0"/>
        <v>50</v>
      </c>
      <c r="O15" s="51">
        <v>0</v>
      </c>
      <c r="P15" s="51">
        <v>0</v>
      </c>
      <c r="Q15" s="52">
        <v>50</v>
      </c>
      <c r="R15">
        <f t="shared" si="2"/>
        <v>1550</v>
      </c>
      <c r="S15" s="59">
        <f t="shared" si="3"/>
        <v>1550</v>
      </c>
      <c r="T15" s="48">
        <f t="shared" si="1"/>
        <v>23870</v>
      </c>
    </row>
    <row r="16" spans="1:20" ht="18" customHeight="1" x14ac:dyDescent="0.2">
      <c r="A16" s="7" t="s">
        <v>34</v>
      </c>
      <c r="B16" s="42" t="s">
        <v>81</v>
      </c>
      <c r="C16" s="7">
        <v>15.46</v>
      </c>
      <c r="D16" s="7">
        <v>5.178E-2</v>
      </c>
      <c r="E16" s="51">
        <v>0</v>
      </c>
      <c r="F16" s="51">
        <v>0</v>
      </c>
      <c r="G16" s="53">
        <f t="shared" ref="G16:K16" si="8">$Q16</f>
        <v>0</v>
      </c>
      <c r="H16" s="53">
        <f t="shared" si="8"/>
        <v>0</v>
      </c>
      <c r="I16" s="53">
        <f t="shared" si="8"/>
        <v>0</v>
      </c>
      <c r="J16" s="53">
        <f t="shared" si="8"/>
        <v>0</v>
      </c>
      <c r="K16" s="53">
        <f t="shared" si="8"/>
        <v>0</v>
      </c>
      <c r="L16" s="53">
        <f t="shared" si="0"/>
        <v>0</v>
      </c>
      <c r="M16" s="56">
        <v>0</v>
      </c>
      <c r="N16" s="56">
        <v>0</v>
      </c>
      <c r="O16" s="51">
        <v>0</v>
      </c>
      <c r="P16" s="51">
        <v>0</v>
      </c>
      <c r="Q16" s="52">
        <v>0</v>
      </c>
      <c r="R16">
        <f t="shared" si="2"/>
        <v>0</v>
      </c>
      <c r="S16" s="59">
        <f t="shared" si="3"/>
        <v>773</v>
      </c>
      <c r="T16" s="48">
        <f t="shared" si="1"/>
        <v>0</v>
      </c>
    </row>
    <row r="17" spans="1:20" ht="18" customHeight="1" x14ac:dyDescent="0.2">
      <c r="E17" s="57">
        <f>SUM(E3:E16)</f>
        <v>0</v>
      </c>
      <c r="F17" s="57">
        <f t="shared" ref="F17:P17" si="9">SUM(F3:F16)</f>
        <v>0</v>
      </c>
      <c r="G17" s="57">
        <f t="shared" si="9"/>
        <v>50</v>
      </c>
      <c r="H17" s="57">
        <f t="shared" si="9"/>
        <v>330</v>
      </c>
      <c r="I17" s="57">
        <f t="shared" si="9"/>
        <v>430</v>
      </c>
      <c r="J17" s="57">
        <f t="shared" si="9"/>
        <v>430</v>
      </c>
      <c r="K17" s="57">
        <f t="shared" si="9"/>
        <v>380</v>
      </c>
      <c r="L17" s="57">
        <f t="shared" si="9"/>
        <v>430</v>
      </c>
      <c r="M17" s="57">
        <f t="shared" si="9"/>
        <v>380</v>
      </c>
      <c r="N17" s="57">
        <f t="shared" si="9"/>
        <v>180</v>
      </c>
      <c r="O17" s="57">
        <f t="shared" si="9"/>
        <v>50</v>
      </c>
      <c r="P17" s="57">
        <f t="shared" si="9"/>
        <v>0</v>
      </c>
      <c r="Q17" s="58"/>
      <c r="T17" s="49">
        <f>SUM(T3:T16)</f>
        <v>1425660.3900000001</v>
      </c>
    </row>
    <row r="18" spans="1:20" ht="18" customHeight="1" x14ac:dyDescent="0.2">
      <c r="A18" s="46" t="s">
        <v>92</v>
      </c>
      <c r="B18" s="47">
        <v>430</v>
      </c>
    </row>
    <row r="19" spans="1:20" ht="18" customHeight="1" x14ac:dyDescent="0.2">
      <c r="S19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63A5-20C0-D444-98DB-1D50C76E95D4}">
  <dimension ref="A2:V27"/>
  <sheetViews>
    <sheetView topLeftCell="J1" zoomScale="81" zoomScaleNormal="70" workbookViewId="0">
      <selection activeCell="Y15" sqref="Y15"/>
    </sheetView>
  </sheetViews>
  <sheetFormatPr baseColWidth="10" defaultRowHeight="18" customHeight="1" x14ac:dyDescent="0.2"/>
  <cols>
    <col min="1" max="1" width="15.1640625" bestFit="1" customWidth="1"/>
    <col min="2" max="2" width="7.83203125" bestFit="1" customWidth="1"/>
    <col min="3" max="3" width="7.6640625" bestFit="1" customWidth="1"/>
    <col min="4" max="5" width="8.33203125" customWidth="1"/>
    <col min="6" max="6" width="11.5" style="60" bestFit="1" customWidth="1"/>
    <col min="7" max="18" width="5.33203125" customWidth="1"/>
    <col min="19" max="20" width="11" bestFit="1" customWidth="1"/>
    <col min="21" max="21" width="13.5" bestFit="1" customWidth="1"/>
    <col min="22" max="22" width="20.83203125" customWidth="1"/>
    <col min="23" max="23" width="11" customWidth="1"/>
    <col min="24" max="25" width="14.1640625" customWidth="1"/>
  </cols>
  <sheetData>
    <row r="2" spans="1:22" ht="35" customHeight="1" x14ac:dyDescent="0.2">
      <c r="A2" s="5" t="s">
        <v>20</v>
      </c>
      <c r="B2" s="5" t="s">
        <v>61</v>
      </c>
      <c r="C2" s="5" t="s">
        <v>84</v>
      </c>
      <c r="D2" s="5" t="s">
        <v>93</v>
      </c>
      <c r="E2" s="5" t="s">
        <v>109</v>
      </c>
      <c r="F2" s="5" t="s">
        <v>98</v>
      </c>
      <c r="G2" s="5" t="s">
        <v>39</v>
      </c>
      <c r="H2" s="5" t="s">
        <v>40</v>
      </c>
      <c r="I2" s="26" t="s">
        <v>41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46</v>
      </c>
      <c r="O2" s="5" t="s">
        <v>47</v>
      </c>
      <c r="P2" s="5" t="s">
        <v>48</v>
      </c>
      <c r="Q2" s="5" t="s">
        <v>49</v>
      </c>
      <c r="R2" s="5" t="s">
        <v>50</v>
      </c>
      <c r="S2" s="5" t="s">
        <v>90</v>
      </c>
      <c r="T2" s="5" t="s">
        <v>91</v>
      </c>
      <c r="U2" s="5" t="s">
        <v>114</v>
      </c>
      <c r="V2" s="5" t="s">
        <v>85</v>
      </c>
    </row>
    <row r="3" spans="1:22" ht="18" customHeight="1" x14ac:dyDescent="0.2">
      <c r="A3" s="7" t="s">
        <v>35</v>
      </c>
      <c r="B3" s="42" t="s">
        <v>62</v>
      </c>
      <c r="C3" s="7">
        <v>22.6</v>
      </c>
      <c r="D3" s="7">
        <v>9.27</v>
      </c>
      <c r="E3">
        <v>6</v>
      </c>
      <c r="F3" s="62">
        <v>9.0034790124276913</v>
      </c>
      <c r="G3" s="51">
        <v>0</v>
      </c>
      <c r="H3" s="51">
        <v>0</v>
      </c>
      <c r="I3" s="50">
        <f>$S3</f>
        <v>10</v>
      </c>
      <c r="J3" s="50">
        <f t="shared" ref="J3:R16" si="0">$S3</f>
        <v>10</v>
      </c>
      <c r="K3" s="50">
        <f t="shared" si="0"/>
        <v>10</v>
      </c>
      <c r="L3" s="50">
        <f t="shared" si="0"/>
        <v>10</v>
      </c>
      <c r="M3" s="50">
        <f t="shared" si="0"/>
        <v>10</v>
      </c>
      <c r="N3" s="50">
        <f t="shared" si="0"/>
        <v>10</v>
      </c>
      <c r="O3" s="51">
        <v>0</v>
      </c>
      <c r="P3" s="51">
        <v>0</v>
      </c>
      <c r="Q3" s="51">
        <v>0</v>
      </c>
      <c r="R3" s="51">
        <v>0</v>
      </c>
      <c r="S3" s="52">
        <v>10</v>
      </c>
      <c r="T3">
        <f t="shared" ref="T3:T16" si="1">S3*C3</f>
        <v>226</v>
      </c>
      <c r="U3" s="4">
        <f>SUM(G3:R3)*F3</f>
        <v>540.20874074566143</v>
      </c>
      <c r="V3" s="48">
        <f t="shared" ref="V3:V16" si="2">T3*D3</f>
        <v>2095.02</v>
      </c>
    </row>
    <row r="4" spans="1:22" ht="18" customHeight="1" x14ac:dyDescent="0.2">
      <c r="A4" s="7" t="s">
        <v>31</v>
      </c>
      <c r="B4" s="42" t="s">
        <v>63</v>
      </c>
      <c r="C4" s="7">
        <v>116.5</v>
      </c>
      <c r="D4" s="7">
        <v>9.91</v>
      </c>
      <c r="E4">
        <v>8</v>
      </c>
      <c r="F4" s="62">
        <v>6.9476069352056893</v>
      </c>
      <c r="G4" s="51">
        <v>0</v>
      </c>
      <c r="H4" s="51">
        <v>0</v>
      </c>
      <c r="I4" s="51">
        <v>0</v>
      </c>
      <c r="J4" s="53">
        <f>$S4</f>
        <v>20</v>
      </c>
      <c r="K4" s="53">
        <f t="shared" si="0"/>
        <v>20</v>
      </c>
      <c r="L4" s="53">
        <f t="shared" si="0"/>
        <v>20</v>
      </c>
      <c r="M4" s="53">
        <f t="shared" si="0"/>
        <v>20</v>
      </c>
      <c r="N4" s="53">
        <f t="shared" si="0"/>
        <v>20</v>
      </c>
      <c r="O4" s="53">
        <f t="shared" si="0"/>
        <v>20</v>
      </c>
      <c r="P4" s="53">
        <f t="shared" si="0"/>
        <v>20</v>
      </c>
      <c r="Q4" s="53">
        <f t="shared" si="0"/>
        <v>20</v>
      </c>
      <c r="R4" s="51">
        <v>0</v>
      </c>
      <c r="S4" s="52">
        <v>20</v>
      </c>
      <c r="T4">
        <f t="shared" si="1"/>
        <v>2330</v>
      </c>
      <c r="U4" s="4">
        <f t="shared" ref="U4:U16" si="3">F4*(S4*COUNTA(G4:R4))</f>
        <v>1667.4256644493655</v>
      </c>
      <c r="V4" s="48">
        <f t="shared" si="2"/>
        <v>23090.3</v>
      </c>
    </row>
    <row r="5" spans="1:22" ht="18" customHeight="1" x14ac:dyDescent="0.2">
      <c r="A5" s="7" t="s">
        <v>30</v>
      </c>
      <c r="B5" s="42" t="s">
        <v>64</v>
      </c>
      <c r="C5" s="7">
        <v>78.599999999999994</v>
      </c>
      <c r="D5" s="7">
        <v>12.15</v>
      </c>
      <c r="E5">
        <v>6</v>
      </c>
      <c r="F5" s="62">
        <v>2.0471936131080737</v>
      </c>
      <c r="G5" s="51">
        <v>0</v>
      </c>
      <c r="H5" s="51">
        <v>0</v>
      </c>
      <c r="I5" s="51">
        <v>0</v>
      </c>
      <c r="J5" s="54">
        <f>$S5</f>
        <v>30</v>
      </c>
      <c r="K5" s="54">
        <f t="shared" si="0"/>
        <v>30</v>
      </c>
      <c r="L5" s="54">
        <f t="shared" si="0"/>
        <v>30</v>
      </c>
      <c r="M5" s="54">
        <f t="shared" si="0"/>
        <v>30</v>
      </c>
      <c r="N5" s="54">
        <f t="shared" si="0"/>
        <v>30</v>
      </c>
      <c r="O5" s="54">
        <f t="shared" si="0"/>
        <v>30</v>
      </c>
      <c r="P5" s="51">
        <v>0</v>
      </c>
      <c r="Q5" s="51">
        <v>0</v>
      </c>
      <c r="R5" s="51">
        <v>0</v>
      </c>
      <c r="S5" s="52">
        <v>30</v>
      </c>
      <c r="T5">
        <f t="shared" si="1"/>
        <v>2358</v>
      </c>
      <c r="U5" s="4">
        <f t="shared" si="3"/>
        <v>736.98970071890653</v>
      </c>
      <c r="V5" s="48">
        <f t="shared" si="2"/>
        <v>28649.7</v>
      </c>
    </row>
    <row r="6" spans="1:22" ht="18" customHeight="1" x14ac:dyDescent="0.2">
      <c r="A6" s="7" t="s">
        <v>29</v>
      </c>
      <c r="B6" s="42" t="s">
        <v>65</v>
      </c>
      <c r="C6" s="7">
        <v>39.29</v>
      </c>
      <c r="D6" s="7">
        <v>12.2</v>
      </c>
      <c r="E6">
        <v>7</v>
      </c>
      <c r="F6" s="62">
        <v>3.1835721871263156</v>
      </c>
      <c r="G6" s="51">
        <v>0</v>
      </c>
      <c r="H6" s="51">
        <v>0</v>
      </c>
      <c r="I6" s="51">
        <v>0</v>
      </c>
      <c r="J6" s="53">
        <f>$S6</f>
        <v>40</v>
      </c>
      <c r="K6" s="53">
        <f t="shared" si="0"/>
        <v>40</v>
      </c>
      <c r="L6" s="53">
        <f t="shared" si="0"/>
        <v>40</v>
      </c>
      <c r="M6" s="53">
        <f t="shared" si="0"/>
        <v>40</v>
      </c>
      <c r="N6" s="53">
        <f t="shared" si="0"/>
        <v>40</v>
      </c>
      <c r="O6" s="53">
        <f t="shared" si="0"/>
        <v>40</v>
      </c>
      <c r="P6" s="53">
        <f t="shared" si="0"/>
        <v>40</v>
      </c>
      <c r="Q6" s="51">
        <v>0</v>
      </c>
      <c r="R6" s="51">
        <v>0</v>
      </c>
      <c r="S6" s="52">
        <v>40</v>
      </c>
      <c r="T6">
        <f t="shared" si="1"/>
        <v>1571.6</v>
      </c>
      <c r="U6" s="4">
        <f t="shared" si="3"/>
        <v>1528.1146498206315</v>
      </c>
      <c r="V6" s="48">
        <f t="shared" si="2"/>
        <v>19173.519999999997</v>
      </c>
    </row>
    <row r="7" spans="1:22" ht="18" customHeight="1" x14ac:dyDescent="0.2">
      <c r="A7" s="7" t="s">
        <v>26</v>
      </c>
      <c r="B7" s="42" t="s">
        <v>66</v>
      </c>
      <c r="C7" s="7">
        <v>625</v>
      </c>
      <c r="D7" s="7">
        <v>10.3</v>
      </c>
      <c r="E7">
        <v>7</v>
      </c>
      <c r="F7" s="62">
        <v>5.1685422092500417</v>
      </c>
      <c r="G7" s="51">
        <v>0</v>
      </c>
      <c r="H7" s="51">
        <v>0</v>
      </c>
      <c r="I7" s="51">
        <v>0</v>
      </c>
      <c r="J7" s="54">
        <f>$S7</f>
        <v>50</v>
      </c>
      <c r="K7" s="54">
        <f t="shared" si="0"/>
        <v>50</v>
      </c>
      <c r="L7" s="54">
        <f t="shared" si="0"/>
        <v>50</v>
      </c>
      <c r="M7" s="54">
        <f t="shared" si="0"/>
        <v>50</v>
      </c>
      <c r="N7" s="54">
        <f t="shared" si="0"/>
        <v>50</v>
      </c>
      <c r="O7" s="54">
        <f t="shared" si="0"/>
        <v>50</v>
      </c>
      <c r="P7" s="54">
        <f t="shared" si="0"/>
        <v>50</v>
      </c>
      <c r="Q7" s="51">
        <v>0</v>
      </c>
      <c r="R7" s="51">
        <v>0</v>
      </c>
      <c r="S7" s="52">
        <v>50</v>
      </c>
      <c r="T7">
        <f t="shared" si="1"/>
        <v>31250</v>
      </c>
      <c r="U7" s="4">
        <f t="shared" si="3"/>
        <v>3101.1253255500251</v>
      </c>
      <c r="V7" s="48">
        <f t="shared" si="2"/>
        <v>321875</v>
      </c>
    </row>
    <row r="8" spans="1:22" ht="18" customHeight="1" x14ac:dyDescent="0.2">
      <c r="A8" s="7" t="s">
        <v>33</v>
      </c>
      <c r="B8" s="42" t="s">
        <v>67</v>
      </c>
      <c r="C8" s="7">
        <v>42</v>
      </c>
      <c r="D8" s="7">
        <v>9.08</v>
      </c>
      <c r="E8">
        <v>4</v>
      </c>
      <c r="F8" s="62">
        <v>7.9057331374897286</v>
      </c>
      <c r="G8" s="51">
        <v>0</v>
      </c>
      <c r="H8" s="51">
        <v>0</v>
      </c>
      <c r="I8" s="51">
        <v>0</v>
      </c>
      <c r="J8" s="53">
        <f t="shared" ref="J8:J9" si="4">$S8</f>
        <v>0</v>
      </c>
      <c r="K8" s="53">
        <f t="shared" si="0"/>
        <v>0</v>
      </c>
      <c r="L8" s="53">
        <f t="shared" si="0"/>
        <v>0</v>
      </c>
      <c r="M8" s="53">
        <f t="shared" si="0"/>
        <v>0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2">
        <v>0</v>
      </c>
      <c r="T8">
        <f t="shared" si="1"/>
        <v>0</v>
      </c>
      <c r="U8" s="4">
        <f t="shared" si="3"/>
        <v>0</v>
      </c>
      <c r="V8" s="48">
        <f t="shared" si="2"/>
        <v>0</v>
      </c>
    </row>
    <row r="9" spans="1:22" ht="18" customHeight="1" x14ac:dyDescent="0.2">
      <c r="A9" s="7" t="s">
        <v>32</v>
      </c>
      <c r="B9" s="42" t="s">
        <v>68</v>
      </c>
      <c r="C9" s="7">
        <v>42</v>
      </c>
      <c r="D9" s="7">
        <v>9.08</v>
      </c>
      <c r="E9">
        <v>10</v>
      </c>
      <c r="F9" s="62">
        <v>3.665072775699346</v>
      </c>
      <c r="G9" s="55">
        <f>$S9</f>
        <v>0</v>
      </c>
      <c r="H9" s="55">
        <f t="shared" ref="H9:I9" si="5">$S9</f>
        <v>0</v>
      </c>
      <c r="I9" s="55">
        <f t="shared" si="5"/>
        <v>0</v>
      </c>
      <c r="J9" s="55">
        <f t="shared" si="4"/>
        <v>0</v>
      </c>
      <c r="K9" s="55">
        <f t="shared" si="0"/>
        <v>0</v>
      </c>
      <c r="L9" s="55">
        <f t="shared" si="0"/>
        <v>0</v>
      </c>
      <c r="M9" s="55">
        <f t="shared" si="0"/>
        <v>0</v>
      </c>
      <c r="N9" s="51">
        <v>0</v>
      </c>
      <c r="O9" s="51">
        <v>0</v>
      </c>
      <c r="P9" s="55">
        <f t="shared" si="0"/>
        <v>0</v>
      </c>
      <c r="Q9" s="55">
        <f t="shared" si="0"/>
        <v>0</v>
      </c>
      <c r="R9" s="55">
        <f t="shared" si="0"/>
        <v>0</v>
      </c>
      <c r="S9" s="52">
        <v>0</v>
      </c>
      <c r="T9">
        <f t="shared" si="1"/>
        <v>0</v>
      </c>
      <c r="U9" s="4">
        <f t="shared" si="3"/>
        <v>0</v>
      </c>
      <c r="V9" s="48">
        <f t="shared" si="2"/>
        <v>0</v>
      </c>
    </row>
    <row r="10" spans="1:22" ht="18" customHeight="1" x14ac:dyDescent="0.2">
      <c r="A10" s="7" t="s">
        <v>23</v>
      </c>
      <c r="B10" s="42" t="s">
        <v>69</v>
      </c>
      <c r="C10" s="7">
        <v>120</v>
      </c>
      <c r="D10" s="7">
        <v>15.8</v>
      </c>
      <c r="E10">
        <v>5</v>
      </c>
      <c r="F10" s="62">
        <v>6.007346582860567</v>
      </c>
      <c r="G10" s="51">
        <v>0</v>
      </c>
      <c r="H10" s="51">
        <v>0</v>
      </c>
      <c r="I10" s="51">
        <v>0</v>
      </c>
      <c r="J10" s="51">
        <v>0</v>
      </c>
      <c r="K10" s="53">
        <f t="shared" si="0"/>
        <v>0</v>
      </c>
      <c r="L10" s="53">
        <f t="shared" si="0"/>
        <v>0</v>
      </c>
      <c r="M10" s="53">
        <f t="shared" si="0"/>
        <v>0</v>
      </c>
      <c r="N10" s="53">
        <f t="shared" si="0"/>
        <v>0</v>
      </c>
      <c r="O10" s="53">
        <f t="shared" si="0"/>
        <v>0</v>
      </c>
      <c r="P10" s="51">
        <v>0</v>
      </c>
      <c r="Q10" s="51">
        <v>0</v>
      </c>
      <c r="R10" s="51">
        <v>0</v>
      </c>
      <c r="S10" s="52">
        <v>0</v>
      </c>
      <c r="T10">
        <f t="shared" si="1"/>
        <v>0</v>
      </c>
      <c r="U10" s="4">
        <f t="shared" si="3"/>
        <v>0</v>
      </c>
      <c r="V10" s="48">
        <f t="shared" si="2"/>
        <v>0</v>
      </c>
    </row>
    <row r="11" spans="1:22" ht="18" customHeight="1" x14ac:dyDescent="0.2">
      <c r="A11" s="7" t="s">
        <v>28</v>
      </c>
      <c r="B11" s="42" t="s">
        <v>70</v>
      </c>
      <c r="C11" s="7">
        <v>200</v>
      </c>
      <c r="D11" s="7">
        <v>11.4</v>
      </c>
      <c r="E11">
        <v>6</v>
      </c>
      <c r="F11" s="62">
        <v>6.6023734982078208</v>
      </c>
      <c r="G11" s="51">
        <v>0</v>
      </c>
      <c r="H11" s="51">
        <v>0</v>
      </c>
      <c r="I11" s="51">
        <v>0</v>
      </c>
      <c r="J11" s="55">
        <f t="shared" si="0"/>
        <v>0</v>
      </c>
      <c r="K11" s="55">
        <f t="shared" si="0"/>
        <v>0</v>
      </c>
      <c r="L11" s="55">
        <f t="shared" si="0"/>
        <v>0</v>
      </c>
      <c r="M11" s="55">
        <f t="shared" si="0"/>
        <v>0</v>
      </c>
      <c r="N11" s="55">
        <f t="shared" si="0"/>
        <v>0</v>
      </c>
      <c r="O11" s="55">
        <f t="shared" si="0"/>
        <v>0</v>
      </c>
      <c r="P11" s="51">
        <v>0</v>
      </c>
      <c r="Q11" s="51">
        <v>0</v>
      </c>
      <c r="R11" s="51">
        <v>0</v>
      </c>
      <c r="S11" s="52">
        <v>0</v>
      </c>
      <c r="T11">
        <f t="shared" si="1"/>
        <v>0</v>
      </c>
      <c r="U11" s="4">
        <f t="shared" si="3"/>
        <v>0</v>
      </c>
      <c r="V11" s="48">
        <f t="shared" si="2"/>
        <v>0</v>
      </c>
    </row>
    <row r="12" spans="1:22" ht="18" customHeight="1" x14ac:dyDescent="0.2">
      <c r="A12" s="7" t="s">
        <v>24</v>
      </c>
      <c r="B12" s="42" t="s">
        <v>71</v>
      </c>
      <c r="C12" s="7">
        <v>641</v>
      </c>
      <c r="D12" s="7">
        <v>18.3</v>
      </c>
      <c r="E12">
        <v>6</v>
      </c>
      <c r="F12" s="62">
        <v>6.6901059614221223</v>
      </c>
      <c r="G12" s="51">
        <v>0</v>
      </c>
      <c r="H12" s="51">
        <v>0</v>
      </c>
      <c r="I12" s="53">
        <f t="shared" ref="I12:N12" si="6">$S12</f>
        <v>0</v>
      </c>
      <c r="J12" s="53">
        <f t="shared" si="6"/>
        <v>0</v>
      </c>
      <c r="K12" s="53">
        <f t="shared" si="6"/>
        <v>0</v>
      </c>
      <c r="L12" s="53">
        <f t="shared" si="6"/>
        <v>0</v>
      </c>
      <c r="M12" s="53">
        <f t="shared" si="6"/>
        <v>0</v>
      </c>
      <c r="N12" s="53">
        <f t="shared" si="6"/>
        <v>0</v>
      </c>
      <c r="O12" s="51">
        <v>0</v>
      </c>
      <c r="P12" s="51">
        <v>0</v>
      </c>
      <c r="Q12" s="51">
        <v>0</v>
      </c>
      <c r="R12" s="51">
        <v>0</v>
      </c>
      <c r="S12" s="52">
        <v>0</v>
      </c>
      <c r="T12">
        <f t="shared" si="1"/>
        <v>0</v>
      </c>
      <c r="U12" s="4">
        <f t="shared" si="3"/>
        <v>0</v>
      </c>
      <c r="V12" s="48">
        <f t="shared" si="2"/>
        <v>0</v>
      </c>
    </row>
    <row r="13" spans="1:22" ht="18" customHeight="1" x14ac:dyDescent="0.2">
      <c r="A13" s="7" t="s">
        <v>27</v>
      </c>
      <c r="B13" s="42" t="s">
        <v>72</v>
      </c>
      <c r="C13" s="7">
        <v>175</v>
      </c>
      <c r="D13" s="7">
        <v>16.100000000000001</v>
      </c>
      <c r="E13">
        <v>5</v>
      </c>
      <c r="F13" s="62">
        <v>6.9165358773358747</v>
      </c>
      <c r="G13" s="51">
        <v>0</v>
      </c>
      <c r="H13" s="51">
        <v>0</v>
      </c>
      <c r="I13" s="51">
        <v>0</v>
      </c>
      <c r="J13" s="51">
        <v>0</v>
      </c>
      <c r="K13" s="55">
        <f t="shared" si="0"/>
        <v>0</v>
      </c>
      <c r="L13" s="55">
        <f t="shared" si="0"/>
        <v>0</v>
      </c>
      <c r="M13" s="55">
        <f t="shared" si="0"/>
        <v>0</v>
      </c>
      <c r="N13" s="55">
        <f t="shared" si="0"/>
        <v>0</v>
      </c>
      <c r="O13" s="55">
        <f t="shared" si="0"/>
        <v>0</v>
      </c>
      <c r="P13" s="51">
        <v>0</v>
      </c>
      <c r="Q13" s="51">
        <v>0</v>
      </c>
      <c r="R13" s="51">
        <v>0</v>
      </c>
      <c r="S13" s="52">
        <v>0</v>
      </c>
      <c r="T13">
        <f t="shared" si="1"/>
        <v>0</v>
      </c>
      <c r="U13" s="4">
        <f t="shared" si="3"/>
        <v>0</v>
      </c>
      <c r="V13" s="48">
        <f t="shared" si="2"/>
        <v>0</v>
      </c>
    </row>
    <row r="14" spans="1:22" ht="18" customHeight="1" x14ac:dyDescent="0.2">
      <c r="A14" s="7" t="s">
        <v>79</v>
      </c>
      <c r="B14" s="42" t="s">
        <v>73</v>
      </c>
      <c r="C14" s="7">
        <v>31</v>
      </c>
      <c r="D14" s="7">
        <v>15.4</v>
      </c>
      <c r="E14">
        <v>3</v>
      </c>
      <c r="F14" s="62">
        <v>9.1003256641342425</v>
      </c>
      <c r="G14" s="51">
        <v>0</v>
      </c>
      <c r="H14" s="51">
        <v>0</v>
      </c>
      <c r="I14" s="51">
        <v>0</v>
      </c>
      <c r="J14" s="53">
        <f t="shared" ref="J14" si="7">$S14</f>
        <v>0</v>
      </c>
      <c r="K14" s="53">
        <f t="shared" si="0"/>
        <v>0</v>
      </c>
      <c r="L14" s="53">
        <f t="shared" si="0"/>
        <v>0</v>
      </c>
      <c r="M14" s="51">
        <v>0</v>
      </c>
      <c r="N14" s="56">
        <v>0</v>
      </c>
      <c r="O14" s="56">
        <v>0</v>
      </c>
      <c r="P14" s="56">
        <v>0</v>
      </c>
      <c r="Q14" s="51">
        <v>0</v>
      </c>
      <c r="R14" s="51">
        <v>0</v>
      </c>
      <c r="S14" s="52">
        <v>0</v>
      </c>
      <c r="T14">
        <f t="shared" si="1"/>
        <v>0</v>
      </c>
      <c r="U14" s="4">
        <f t="shared" si="3"/>
        <v>0</v>
      </c>
      <c r="V14" s="48">
        <f t="shared" si="2"/>
        <v>0</v>
      </c>
    </row>
    <row r="15" spans="1:22" ht="18" customHeight="1" x14ac:dyDescent="0.2">
      <c r="A15" s="7" t="s">
        <v>80</v>
      </c>
      <c r="B15" s="42" t="s">
        <v>74</v>
      </c>
      <c r="C15" s="7">
        <v>31</v>
      </c>
      <c r="D15" s="7">
        <v>15.4</v>
      </c>
      <c r="E15">
        <v>3</v>
      </c>
      <c r="F15" s="62">
        <v>4.5707843617229846</v>
      </c>
      <c r="G15" s="51">
        <v>0</v>
      </c>
      <c r="H15" s="51">
        <v>0</v>
      </c>
      <c r="I15" s="51">
        <v>0</v>
      </c>
      <c r="J15" s="56">
        <v>0</v>
      </c>
      <c r="K15" s="56">
        <v>0</v>
      </c>
      <c r="L15" s="56">
        <v>0</v>
      </c>
      <c r="M15" s="51">
        <v>0</v>
      </c>
      <c r="N15" s="55">
        <f t="shared" si="0"/>
        <v>0</v>
      </c>
      <c r="O15" s="55">
        <f t="shared" si="0"/>
        <v>0</v>
      </c>
      <c r="P15" s="55">
        <f t="shared" si="0"/>
        <v>0</v>
      </c>
      <c r="Q15" s="51">
        <v>0</v>
      </c>
      <c r="R15" s="51">
        <v>0</v>
      </c>
      <c r="S15" s="52">
        <v>0</v>
      </c>
      <c r="T15">
        <f t="shared" si="1"/>
        <v>0</v>
      </c>
      <c r="U15" s="4">
        <f t="shared" si="3"/>
        <v>0</v>
      </c>
      <c r="V15" s="48">
        <f t="shared" si="2"/>
        <v>0</v>
      </c>
    </row>
    <row r="16" spans="1:22" ht="18" customHeight="1" x14ac:dyDescent="0.2">
      <c r="A16" s="7" t="s">
        <v>34</v>
      </c>
      <c r="B16" s="42" t="s">
        <v>81</v>
      </c>
      <c r="C16" s="7">
        <v>15.46</v>
      </c>
      <c r="D16" s="7">
        <v>5.178E-2</v>
      </c>
      <c r="E16">
        <v>6</v>
      </c>
      <c r="F16" s="62">
        <v>6.2263307953053264</v>
      </c>
      <c r="G16" s="51">
        <v>0</v>
      </c>
      <c r="H16" s="51">
        <v>0</v>
      </c>
      <c r="I16" s="53">
        <f t="shared" ref="I16:M16" si="8">$S16</f>
        <v>0</v>
      </c>
      <c r="J16" s="53">
        <f t="shared" si="8"/>
        <v>0</v>
      </c>
      <c r="K16" s="53">
        <f t="shared" si="8"/>
        <v>0</v>
      </c>
      <c r="L16" s="53">
        <f t="shared" si="8"/>
        <v>0</v>
      </c>
      <c r="M16" s="53">
        <f t="shared" si="8"/>
        <v>0</v>
      </c>
      <c r="N16" s="53">
        <f t="shared" si="0"/>
        <v>0</v>
      </c>
      <c r="O16" s="56">
        <v>0</v>
      </c>
      <c r="P16" s="56">
        <v>0</v>
      </c>
      <c r="Q16" s="51">
        <v>0</v>
      </c>
      <c r="R16" s="51">
        <v>0</v>
      </c>
      <c r="S16" s="52">
        <v>0</v>
      </c>
      <c r="T16">
        <f t="shared" si="1"/>
        <v>0</v>
      </c>
      <c r="U16" s="4">
        <f t="shared" si="3"/>
        <v>0</v>
      </c>
      <c r="V16" s="48">
        <f t="shared" si="2"/>
        <v>0</v>
      </c>
    </row>
    <row r="17" spans="1:22" ht="18" customHeight="1" x14ac:dyDescent="0.2">
      <c r="F17" s="60" t="s">
        <v>101</v>
      </c>
      <c r="G17" s="57">
        <f>SUM(G3:G16)</f>
        <v>0</v>
      </c>
      <c r="H17" s="57">
        <f t="shared" ref="H17:R17" si="9">SUM(H3:H16)</f>
        <v>0</v>
      </c>
      <c r="I17" s="57">
        <f t="shared" si="9"/>
        <v>10</v>
      </c>
      <c r="J17" s="57">
        <f t="shared" si="9"/>
        <v>150</v>
      </c>
      <c r="K17" s="57">
        <f t="shared" si="9"/>
        <v>150</v>
      </c>
      <c r="L17" s="57">
        <f t="shared" si="9"/>
        <v>150</v>
      </c>
      <c r="M17" s="57">
        <f t="shared" si="9"/>
        <v>150</v>
      </c>
      <c r="N17" s="57">
        <f t="shared" si="9"/>
        <v>150</v>
      </c>
      <c r="O17" s="57">
        <f t="shared" si="9"/>
        <v>140</v>
      </c>
      <c r="P17" s="57">
        <f t="shared" si="9"/>
        <v>110</v>
      </c>
      <c r="Q17" s="57">
        <f t="shared" si="9"/>
        <v>20</v>
      </c>
      <c r="R17" s="57">
        <f t="shared" si="9"/>
        <v>0</v>
      </c>
      <c r="S17" s="58"/>
      <c r="V17" s="49">
        <f>SUM(V3:V16)</f>
        <v>394883.54000000004</v>
      </c>
    </row>
    <row r="19" spans="1:22" ht="18" customHeight="1" x14ac:dyDescent="0.2">
      <c r="A19" s="46" t="s">
        <v>92</v>
      </c>
    </row>
    <row r="20" spans="1:22" ht="18" customHeight="1" x14ac:dyDescent="0.2">
      <c r="A20" s="47">
        <v>430</v>
      </c>
    </row>
    <row r="21" spans="1:22" ht="18" customHeight="1" x14ac:dyDescent="0.2">
      <c r="F21" t="s">
        <v>113</v>
      </c>
    </row>
    <row r="22" spans="1:22" ht="18" customHeight="1" x14ac:dyDescent="0.2">
      <c r="A22" s="61" t="s">
        <v>100</v>
      </c>
      <c r="F22" t="s">
        <v>105</v>
      </c>
    </row>
    <row r="23" spans="1:22" ht="18" customHeight="1" x14ac:dyDescent="0.2">
      <c r="A23" s="61">
        <v>2000</v>
      </c>
      <c r="F23" s="60" t="s">
        <v>106</v>
      </c>
      <c r="V23" t="s">
        <v>103</v>
      </c>
    </row>
    <row r="24" spans="1:22" ht="18" customHeight="1" x14ac:dyDescent="0.2">
      <c r="F24" t="s">
        <v>107</v>
      </c>
      <c r="I24" t="s">
        <v>108</v>
      </c>
      <c r="V24" t="s">
        <v>104</v>
      </c>
    </row>
    <row r="25" spans="1:22" ht="18" customHeight="1" x14ac:dyDescent="0.2">
      <c r="A25" s="61" t="s">
        <v>99</v>
      </c>
      <c r="F25" t="s">
        <v>110</v>
      </c>
    </row>
    <row r="26" spans="1:22" ht="18" customHeight="1" x14ac:dyDescent="0.2">
      <c r="A26" s="61"/>
      <c r="F26" t="s">
        <v>111</v>
      </c>
      <c r="H26" t="s">
        <v>112</v>
      </c>
    </row>
    <row r="27" spans="1:22" ht="18" customHeight="1" x14ac:dyDescent="0.2">
      <c r="F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0805-7BDB-5545-A4E5-53DB2E65789A}">
  <dimension ref="A1:F56"/>
  <sheetViews>
    <sheetView showGridLines="0" topLeftCell="A6" workbookViewId="0"/>
  </sheetViews>
  <sheetFormatPr baseColWidth="10" defaultRowHeight="16" x14ac:dyDescent="0.2"/>
  <cols>
    <col min="1" max="1" width="2.33203125" customWidth="1"/>
    <col min="2" max="2" width="6.6640625" bestFit="1" customWidth="1"/>
    <col min="3" max="3" width="20.83203125" bestFit="1" customWidth="1"/>
    <col min="4" max="4" width="12.6640625" bestFit="1" customWidth="1"/>
    <col min="5" max="5" width="13" bestFit="1" customWidth="1"/>
    <col min="6" max="6" width="14" bestFit="1" customWidth="1"/>
  </cols>
  <sheetData>
    <row r="1" spans="1:6" x14ac:dyDescent="0.2">
      <c r="A1" s="75" t="s">
        <v>118</v>
      </c>
    </row>
    <row r="2" spans="1:6" x14ac:dyDescent="0.2">
      <c r="A2" s="75" t="s">
        <v>119</v>
      </c>
    </row>
    <row r="3" spans="1:6" x14ac:dyDescent="0.2">
      <c r="A3" s="75" t="s">
        <v>228</v>
      </c>
    </row>
    <row r="6" spans="1:6" ht="17" thickBot="1" x14ac:dyDescent="0.25">
      <c r="A6" t="s">
        <v>120</v>
      </c>
    </row>
    <row r="7" spans="1:6" ht="17" thickBot="1" x14ac:dyDescent="0.25">
      <c r="B7" s="77" t="s">
        <v>121</v>
      </c>
      <c r="C7" s="77" t="s">
        <v>122</v>
      </c>
      <c r="D7" s="77" t="s">
        <v>123</v>
      </c>
      <c r="E7" s="77" t="s">
        <v>124</v>
      </c>
      <c r="F7" s="77" t="s">
        <v>125</v>
      </c>
    </row>
    <row r="8" spans="1:6" ht="17" thickBot="1" x14ac:dyDescent="0.25">
      <c r="B8" s="76" t="s">
        <v>131</v>
      </c>
      <c r="C8" s="76" t="s">
        <v>132</v>
      </c>
      <c r="D8" s="79">
        <v>0</v>
      </c>
      <c r="E8" s="79">
        <v>0</v>
      </c>
      <c r="F8" s="76" t="s">
        <v>135</v>
      </c>
    </row>
    <row r="11" spans="1:6" ht="17" thickBot="1" x14ac:dyDescent="0.25">
      <c r="A11" t="s">
        <v>126</v>
      </c>
    </row>
    <row r="12" spans="1:6" ht="17" thickBot="1" x14ac:dyDescent="0.25">
      <c r="B12" s="77" t="s">
        <v>121</v>
      </c>
      <c r="C12" s="77" t="s">
        <v>122</v>
      </c>
      <c r="D12" s="77" t="s">
        <v>123</v>
      </c>
      <c r="E12" s="77" t="s">
        <v>124</v>
      </c>
      <c r="F12" s="77" t="s">
        <v>127</v>
      </c>
    </row>
    <row r="13" spans="1:6" x14ac:dyDescent="0.2">
      <c r="B13" s="78" t="s">
        <v>133</v>
      </c>
      <c r="C13" s="78" t="s">
        <v>134</v>
      </c>
      <c r="D13" s="78">
        <v>0</v>
      </c>
      <c r="E13" s="78">
        <v>0</v>
      </c>
      <c r="F13" s="78" t="s">
        <v>135</v>
      </c>
    </row>
    <row r="14" spans="1:6" x14ac:dyDescent="0.2">
      <c r="B14" s="78" t="s">
        <v>136</v>
      </c>
      <c r="C14" s="78" t="s">
        <v>137</v>
      </c>
      <c r="D14" s="78">
        <v>0</v>
      </c>
      <c r="E14" s="78">
        <v>0</v>
      </c>
      <c r="F14" s="78" t="s">
        <v>135</v>
      </c>
    </row>
    <row r="15" spans="1:6" x14ac:dyDescent="0.2">
      <c r="B15" s="78" t="s">
        <v>138</v>
      </c>
      <c r="C15" s="78" t="s">
        <v>139</v>
      </c>
      <c r="D15" s="78">
        <v>0</v>
      </c>
      <c r="E15" s="78">
        <v>0</v>
      </c>
      <c r="F15" s="78" t="s">
        <v>135</v>
      </c>
    </row>
    <row r="16" spans="1:6" x14ac:dyDescent="0.2">
      <c r="B16" s="78" t="s">
        <v>140</v>
      </c>
      <c r="C16" s="78" t="s">
        <v>141</v>
      </c>
      <c r="D16" s="78">
        <v>0</v>
      </c>
      <c r="E16" s="78">
        <v>0</v>
      </c>
      <c r="F16" s="78" t="s">
        <v>135</v>
      </c>
    </row>
    <row r="17" spans="1:6" x14ac:dyDescent="0.2">
      <c r="B17" s="78" t="s">
        <v>142</v>
      </c>
      <c r="C17" s="78" t="s">
        <v>143</v>
      </c>
      <c r="D17" s="78">
        <v>0</v>
      </c>
      <c r="E17" s="78">
        <v>0</v>
      </c>
      <c r="F17" s="78" t="s">
        <v>135</v>
      </c>
    </row>
    <row r="18" spans="1:6" x14ac:dyDescent="0.2">
      <c r="B18" s="78" t="s">
        <v>144</v>
      </c>
      <c r="C18" s="78" t="s">
        <v>145</v>
      </c>
      <c r="D18" s="78">
        <v>0</v>
      </c>
      <c r="E18" s="78">
        <v>0</v>
      </c>
      <c r="F18" s="78" t="s">
        <v>135</v>
      </c>
    </row>
    <row r="19" spans="1:6" x14ac:dyDescent="0.2">
      <c r="B19" s="78" t="s">
        <v>146</v>
      </c>
      <c r="C19" s="78" t="s">
        <v>147</v>
      </c>
      <c r="D19" s="78">
        <v>0</v>
      </c>
      <c r="E19" s="78">
        <v>0</v>
      </c>
      <c r="F19" s="78" t="s">
        <v>135</v>
      </c>
    </row>
    <row r="20" spans="1:6" x14ac:dyDescent="0.2">
      <c r="B20" s="78" t="s">
        <v>148</v>
      </c>
      <c r="C20" s="78" t="s">
        <v>149</v>
      </c>
      <c r="D20" s="78">
        <v>0</v>
      </c>
      <c r="E20" s="78">
        <v>0</v>
      </c>
      <c r="F20" s="78" t="s">
        <v>135</v>
      </c>
    </row>
    <row r="21" spans="1:6" x14ac:dyDescent="0.2">
      <c r="B21" s="78" t="s">
        <v>150</v>
      </c>
      <c r="C21" s="78" t="s">
        <v>151</v>
      </c>
      <c r="D21" s="78">
        <v>0</v>
      </c>
      <c r="E21" s="78">
        <v>0</v>
      </c>
      <c r="F21" s="78" t="s">
        <v>135</v>
      </c>
    </row>
    <row r="22" spans="1:6" x14ac:dyDescent="0.2">
      <c r="B22" s="78" t="s">
        <v>152</v>
      </c>
      <c r="C22" s="78" t="s">
        <v>153</v>
      </c>
      <c r="D22" s="78">
        <v>0</v>
      </c>
      <c r="E22" s="78">
        <v>0</v>
      </c>
      <c r="F22" s="78" t="s">
        <v>135</v>
      </c>
    </row>
    <row r="23" spans="1:6" x14ac:dyDescent="0.2">
      <c r="B23" s="78" t="s">
        <v>154</v>
      </c>
      <c r="C23" s="78" t="s">
        <v>155</v>
      </c>
      <c r="D23" s="78">
        <v>0</v>
      </c>
      <c r="E23" s="78">
        <v>0</v>
      </c>
      <c r="F23" s="78" t="s">
        <v>135</v>
      </c>
    </row>
    <row r="24" spans="1:6" x14ac:dyDescent="0.2">
      <c r="B24" s="78" t="s">
        <v>156</v>
      </c>
      <c r="C24" s="78" t="s">
        <v>157</v>
      </c>
      <c r="D24" s="78">
        <v>0</v>
      </c>
      <c r="E24" s="78">
        <v>0</v>
      </c>
      <c r="F24" s="78" t="s">
        <v>135</v>
      </c>
    </row>
    <row r="25" spans="1:6" x14ac:dyDescent="0.2">
      <c r="B25" s="78" t="s">
        <v>158</v>
      </c>
      <c r="C25" s="78" t="s">
        <v>159</v>
      </c>
      <c r="D25" s="78">
        <v>0</v>
      </c>
      <c r="E25" s="78">
        <v>0</v>
      </c>
      <c r="F25" s="78" t="s">
        <v>135</v>
      </c>
    </row>
    <row r="26" spans="1:6" ht="17" thickBot="1" x14ac:dyDescent="0.25">
      <c r="B26" s="76" t="s">
        <v>160</v>
      </c>
      <c r="C26" s="76" t="s">
        <v>161</v>
      </c>
      <c r="D26" s="76">
        <v>0</v>
      </c>
      <c r="E26" s="76">
        <v>0</v>
      </c>
      <c r="F26" s="76" t="s">
        <v>135</v>
      </c>
    </row>
    <row r="29" spans="1:6" ht="17" thickBot="1" x14ac:dyDescent="0.25">
      <c r="A29" t="s">
        <v>128</v>
      </c>
    </row>
    <row r="30" spans="1:6" ht="17" thickBot="1" x14ac:dyDescent="0.25">
      <c r="B30" s="77" t="s">
        <v>121</v>
      </c>
      <c r="C30" s="77" t="s">
        <v>122</v>
      </c>
      <c r="D30" s="77" t="s">
        <v>129</v>
      </c>
      <c r="E30" s="77" t="s">
        <v>130</v>
      </c>
      <c r="F30" s="77" t="s">
        <v>125</v>
      </c>
    </row>
    <row r="31" spans="1:6" x14ac:dyDescent="0.2">
      <c r="B31" s="78" t="s">
        <v>162</v>
      </c>
      <c r="C31" s="78" t="s">
        <v>163</v>
      </c>
      <c r="D31" s="78">
        <v>0</v>
      </c>
      <c r="E31" s="78" t="s">
        <v>229</v>
      </c>
      <c r="F31" s="78" t="s">
        <v>135</v>
      </c>
    </row>
    <row r="32" spans="1:6" x14ac:dyDescent="0.2">
      <c r="B32" s="78" t="s">
        <v>164</v>
      </c>
      <c r="C32" s="78" t="s">
        <v>165</v>
      </c>
      <c r="D32" s="78">
        <v>0</v>
      </c>
      <c r="E32" s="78" t="s">
        <v>230</v>
      </c>
      <c r="F32" s="78" t="s">
        <v>135</v>
      </c>
    </row>
    <row r="33" spans="2:6" x14ac:dyDescent="0.2">
      <c r="B33" s="78" t="s">
        <v>166</v>
      </c>
      <c r="C33" s="78" t="s">
        <v>167</v>
      </c>
      <c r="D33" s="78">
        <v>0</v>
      </c>
      <c r="E33" s="78" t="s">
        <v>231</v>
      </c>
      <c r="F33" s="78" t="s">
        <v>135</v>
      </c>
    </row>
    <row r="34" spans="2:6" x14ac:dyDescent="0.2">
      <c r="B34" s="78" t="s">
        <v>168</v>
      </c>
      <c r="C34" s="78" t="s">
        <v>169</v>
      </c>
      <c r="D34" s="78">
        <v>0</v>
      </c>
      <c r="E34" s="78" t="s">
        <v>232</v>
      </c>
      <c r="F34" s="78" t="s">
        <v>135</v>
      </c>
    </row>
    <row r="35" spans="2:6" x14ac:dyDescent="0.2">
      <c r="B35" s="78" t="s">
        <v>170</v>
      </c>
      <c r="C35" s="78" t="s">
        <v>171</v>
      </c>
      <c r="D35" s="78">
        <v>0</v>
      </c>
      <c r="E35" s="78" t="s">
        <v>233</v>
      </c>
      <c r="F35" s="78" t="s">
        <v>135</v>
      </c>
    </row>
    <row r="36" spans="2:6" x14ac:dyDescent="0.2">
      <c r="B36" s="78" t="s">
        <v>172</v>
      </c>
      <c r="C36" s="78" t="s">
        <v>173</v>
      </c>
      <c r="D36" s="78">
        <v>0</v>
      </c>
      <c r="E36" s="78" t="s">
        <v>234</v>
      </c>
      <c r="F36" s="78" t="s">
        <v>135</v>
      </c>
    </row>
    <row r="37" spans="2:6" x14ac:dyDescent="0.2">
      <c r="B37" s="78" t="s">
        <v>174</v>
      </c>
      <c r="C37" s="78" t="s">
        <v>175</v>
      </c>
      <c r="D37" s="78">
        <v>0</v>
      </c>
      <c r="E37" s="78" t="s">
        <v>235</v>
      </c>
      <c r="F37" s="78" t="s">
        <v>135</v>
      </c>
    </row>
    <row r="38" spans="2:6" x14ac:dyDescent="0.2">
      <c r="B38" s="78" t="s">
        <v>176</v>
      </c>
      <c r="C38" s="78" t="s">
        <v>177</v>
      </c>
      <c r="D38" s="78">
        <v>0</v>
      </c>
      <c r="E38" s="78" t="s">
        <v>236</v>
      </c>
      <c r="F38" s="78" t="s">
        <v>135</v>
      </c>
    </row>
    <row r="39" spans="2:6" x14ac:dyDescent="0.2">
      <c r="B39" s="78" t="s">
        <v>178</v>
      </c>
      <c r="C39" s="78" t="s">
        <v>179</v>
      </c>
      <c r="D39" s="78">
        <v>0</v>
      </c>
      <c r="E39" s="78" t="s">
        <v>237</v>
      </c>
      <c r="F39" s="78" t="s">
        <v>135</v>
      </c>
    </row>
    <row r="40" spans="2:6" x14ac:dyDescent="0.2">
      <c r="B40" s="78" t="s">
        <v>180</v>
      </c>
      <c r="C40" s="78" t="s">
        <v>181</v>
      </c>
      <c r="D40" s="78">
        <v>0</v>
      </c>
      <c r="E40" s="78" t="s">
        <v>238</v>
      </c>
      <c r="F40" s="78" t="s">
        <v>135</v>
      </c>
    </row>
    <row r="41" spans="2:6" x14ac:dyDescent="0.2">
      <c r="B41" s="78" t="s">
        <v>182</v>
      </c>
      <c r="C41" s="78" t="s">
        <v>183</v>
      </c>
      <c r="D41" s="78">
        <v>0</v>
      </c>
      <c r="E41" s="78" t="s">
        <v>239</v>
      </c>
      <c r="F41" s="78" t="s">
        <v>135</v>
      </c>
    </row>
    <row r="42" spans="2:6" x14ac:dyDescent="0.2">
      <c r="B42" s="78" t="s">
        <v>184</v>
      </c>
      <c r="C42" s="78" t="s">
        <v>185</v>
      </c>
      <c r="D42" s="78">
        <v>0</v>
      </c>
      <c r="E42" s="78" t="s">
        <v>240</v>
      </c>
      <c r="F42" s="78" t="s">
        <v>135</v>
      </c>
    </row>
    <row r="43" spans="2:6" x14ac:dyDescent="0.2">
      <c r="B43" s="78" t="s">
        <v>186</v>
      </c>
      <c r="C43" s="78" t="s">
        <v>187</v>
      </c>
      <c r="D43" s="78">
        <v>0</v>
      </c>
      <c r="E43" s="78" t="s">
        <v>188</v>
      </c>
      <c r="F43" s="78" t="s">
        <v>135</v>
      </c>
    </row>
    <row r="44" spans="2:6" x14ac:dyDescent="0.2">
      <c r="B44" s="78" t="s">
        <v>189</v>
      </c>
      <c r="C44" s="78" t="s">
        <v>190</v>
      </c>
      <c r="D44" s="78">
        <v>0</v>
      </c>
      <c r="E44" s="78" t="s">
        <v>191</v>
      </c>
      <c r="F44" s="78" t="s">
        <v>135</v>
      </c>
    </row>
    <row r="45" spans="2:6" x14ac:dyDescent="0.2">
      <c r="B45" s="78" t="s">
        <v>192</v>
      </c>
      <c r="C45" s="78" t="s">
        <v>193</v>
      </c>
      <c r="D45" s="78">
        <v>0</v>
      </c>
      <c r="E45" s="78" t="s">
        <v>194</v>
      </c>
      <c r="F45" s="78" t="s">
        <v>135</v>
      </c>
    </row>
    <row r="46" spans="2:6" x14ac:dyDescent="0.2">
      <c r="B46" s="78" t="s">
        <v>195</v>
      </c>
      <c r="C46" s="78" t="s">
        <v>196</v>
      </c>
      <c r="D46" s="78">
        <v>0</v>
      </c>
      <c r="E46" s="78" t="s">
        <v>197</v>
      </c>
      <c r="F46" s="78" t="s">
        <v>135</v>
      </c>
    </row>
    <row r="47" spans="2:6" x14ac:dyDescent="0.2">
      <c r="B47" s="78" t="s">
        <v>198</v>
      </c>
      <c r="C47" s="78" t="s">
        <v>199</v>
      </c>
      <c r="D47" s="78">
        <v>0</v>
      </c>
      <c r="E47" s="78" t="s">
        <v>200</v>
      </c>
      <c r="F47" s="78" t="s">
        <v>135</v>
      </c>
    </row>
    <row r="48" spans="2:6" x14ac:dyDescent="0.2">
      <c r="B48" s="78" t="s">
        <v>201</v>
      </c>
      <c r="C48" s="78" t="s">
        <v>202</v>
      </c>
      <c r="D48" s="78">
        <v>0</v>
      </c>
      <c r="E48" s="78" t="s">
        <v>203</v>
      </c>
      <c r="F48" s="78" t="s">
        <v>135</v>
      </c>
    </row>
    <row r="49" spans="2:6" x14ac:dyDescent="0.2">
      <c r="B49" s="78" t="s">
        <v>204</v>
      </c>
      <c r="C49" s="78" t="s">
        <v>205</v>
      </c>
      <c r="D49" s="78">
        <v>0</v>
      </c>
      <c r="E49" s="78" t="s">
        <v>206</v>
      </c>
      <c r="F49" s="78" t="s">
        <v>135</v>
      </c>
    </row>
    <row r="50" spans="2:6" x14ac:dyDescent="0.2">
      <c r="B50" s="78" t="s">
        <v>207</v>
      </c>
      <c r="C50" s="78" t="s">
        <v>208</v>
      </c>
      <c r="D50" s="78">
        <v>0</v>
      </c>
      <c r="E50" s="78" t="s">
        <v>209</v>
      </c>
      <c r="F50" s="78" t="s">
        <v>135</v>
      </c>
    </row>
    <row r="51" spans="2:6" x14ac:dyDescent="0.2">
      <c r="B51" s="78" t="s">
        <v>210</v>
      </c>
      <c r="C51" s="78" t="s">
        <v>211</v>
      </c>
      <c r="D51" s="78">
        <v>0</v>
      </c>
      <c r="E51" s="78" t="s">
        <v>212</v>
      </c>
      <c r="F51" s="78" t="s">
        <v>135</v>
      </c>
    </row>
    <row r="52" spans="2:6" x14ac:dyDescent="0.2">
      <c r="B52" s="78" t="s">
        <v>213</v>
      </c>
      <c r="C52" s="78" t="s">
        <v>214</v>
      </c>
      <c r="D52" s="78">
        <v>0</v>
      </c>
      <c r="E52" s="78" t="s">
        <v>215</v>
      </c>
      <c r="F52" s="78" t="s">
        <v>135</v>
      </c>
    </row>
    <row r="53" spans="2:6" x14ac:dyDescent="0.2">
      <c r="B53" s="78" t="s">
        <v>216</v>
      </c>
      <c r="C53" s="78" t="s">
        <v>217</v>
      </c>
      <c r="D53" s="78">
        <v>0</v>
      </c>
      <c r="E53" s="78" t="s">
        <v>218</v>
      </c>
      <c r="F53" s="78" t="s">
        <v>135</v>
      </c>
    </row>
    <row r="54" spans="2:6" x14ac:dyDescent="0.2">
      <c r="B54" s="78" t="s">
        <v>219</v>
      </c>
      <c r="C54" s="78" t="s">
        <v>220</v>
      </c>
      <c r="D54" s="78">
        <v>0</v>
      </c>
      <c r="E54" s="78" t="s">
        <v>221</v>
      </c>
      <c r="F54" s="78" t="s">
        <v>135</v>
      </c>
    </row>
    <row r="55" spans="2:6" x14ac:dyDescent="0.2">
      <c r="B55" s="78" t="s">
        <v>222</v>
      </c>
      <c r="C55" s="78" t="s">
        <v>223</v>
      </c>
      <c r="D55" s="78">
        <v>0</v>
      </c>
      <c r="E55" s="78" t="s">
        <v>224</v>
      </c>
      <c r="F55" s="78" t="s">
        <v>135</v>
      </c>
    </row>
    <row r="56" spans="2:6" ht="17" thickBot="1" x14ac:dyDescent="0.25">
      <c r="B56" s="76" t="s">
        <v>225</v>
      </c>
      <c r="C56" s="76" t="s">
        <v>226</v>
      </c>
      <c r="D56" s="76">
        <v>0</v>
      </c>
      <c r="E56" s="76" t="s">
        <v>227</v>
      </c>
      <c r="F56" s="76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D101A-95EB-BE47-BD52-CEB94DDC3B1D}">
  <dimension ref="A2:W45"/>
  <sheetViews>
    <sheetView zoomScale="81" zoomScaleNormal="70" workbookViewId="0">
      <selection activeCell="S24" sqref="S24"/>
    </sheetView>
  </sheetViews>
  <sheetFormatPr baseColWidth="10" defaultRowHeight="18" customHeight="1" x14ac:dyDescent="0.2"/>
  <cols>
    <col min="1" max="1" width="15.1640625" bestFit="1" customWidth="1"/>
    <col min="2" max="2" width="7.83203125" bestFit="1" customWidth="1"/>
    <col min="3" max="3" width="7.6640625" bestFit="1" customWidth="1"/>
    <col min="4" max="4" width="8.33203125" customWidth="1"/>
    <col min="5" max="5" width="11.5" style="60" bestFit="1" customWidth="1"/>
    <col min="6" max="17" width="5.33203125" customWidth="1"/>
    <col min="18" max="19" width="11" bestFit="1" customWidth="1"/>
    <col min="20" max="20" width="11" customWidth="1"/>
    <col min="21" max="21" width="13.5" bestFit="1" customWidth="1"/>
    <col min="23" max="23" width="21.33203125" bestFit="1" customWidth="1"/>
    <col min="24" max="25" width="14.1640625" customWidth="1"/>
  </cols>
  <sheetData>
    <row r="2" spans="1:23" ht="35" customHeight="1" x14ac:dyDescent="0.2">
      <c r="A2" s="5" t="s">
        <v>20</v>
      </c>
      <c r="B2" s="5" t="s">
        <v>61</v>
      </c>
      <c r="C2" s="5" t="s">
        <v>84</v>
      </c>
      <c r="D2" s="5" t="s">
        <v>93</v>
      </c>
      <c r="E2" s="5" t="s">
        <v>98</v>
      </c>
      <c r="F2" s="5" t="s">
        <v>39</v>
      </c>
      <c r="G2" s="5" t="s">
        <v>40</v>
      </c>
      <c r="H2" s="26" t="s">
        <v>41</v>
      </c>
      <c r="I2" s="5" t="s">
        <v>42</v>
      </c>
      <c r="J2" s="5" t="s">
        <v>43</v>
      </c>
      <c r="K2" s="5" t="s">
        <v>44</v>
      </c>
      <c r="L2" s="5" t="s">
        <v>45</v>
      </c>
      <c r="M2" s="5" t="s">
        <v>46</v>
      </c>
      <c r="N2" s="5" t="s">
        <v>47</v>
      </c>
      <c r="O2" s="5" t="s">
        <v>48</v>
      </c>
      <c r="P2" s="5" t="s">
        <v>49</v>
      </c>
      <c r="Q2" s="5" t="s">
        <v>50</v>
      </c>
      <c r="R2" s="5" t="s">
        <v>90</v>
      </c>
      <c r="S2" s="5" t="s">
        <v>91</v>
      </c>
      <c r="T2" s="5" t="s">
        <v>94</v>
      </c>
      <c r="U2" s="5" t="s">
        <v>95</v>
      </c>
    </row>
    <row r="3" spans="1:23" ht="18" customHeight="1" x14ac:dyDescent="0.2">
      <c r="A3" s="7" t="s">
        <v>35</v>
      </c>
      <c r="B3" s="42" t="s">
        <v>62</v>
      </c>
      <c r="C3" s="7">
        <v>22.6</v>
      </c>
      <c r="D3" s="7">
        <v>9.27</v>
      </c>
      <c r="E3" s="62">
        <v>0.5</v>
      </c>
      <c r="F3" s="51">
        <v>0</v>
      </c>
      <c r="G3" s="51">
        <v>0</v>
      </c>
      <c r="H3" s="50">
        <f>$R3</f>
        <v>0</v>
      </c>
      <c r="I3" s="50">
        <f t="shared" ref="I3:Q16" si="0">$R3</f>
        <v>0</v>
      </c>
      <c r="J3" s="50">
        <f t="shared" si="0"/>
        <v>0</v>
      </c>
      <c r="K3" s="50">
        <f t="shared" si="0"/>
        <v>0</v>
      </c>
      <c r="L3" s="50">
        <f t="shared" si="0"/>
        <v>0</v>
      </c>
      <c r="M3" s="50">
        <f t="shared" si="0"/>
        <v>0</v>
      </c>
      <c r="N3" s="51">
        <v>0</v>
      </c>
      <c r="O3" s="51">
        <v>0</v>
      </c>
      <c r="P3" s="51">
        <v>0</v>
      </c>
      <c r="Q3" s="51">
        <v>0</v>
      </c>
      <c r="R3" s="52">
        <v>0</v>
      </c>
      <c r="S3">
        <f t="shared" ref="S3:S16" si="1">R3*C3</f>
        <v>0</v>
      </c>
      <c r="T3" s="74">
        <v>1130</v>
      </c>
      <c r="U3" s="48">
        <f t="shared" ref="U3:U16" si="2">S3*D3</f>
        <v>0</v>
      </c>
      <c r="W3" s="46" t="s">
        <v>92</v>
      </c>
    </row>
    <row r="4" spans="1:23" ht="18" customHeight="1" x14ac:dyDescent="0.2">
      <c r="A4" s="7" t="s">
        <v>31</v>
      </c>
      <c r="B4" s="42" t="s">
        <v>63</v>
      </c>
      <c r="C4" s="7">
        <v>116.5</v>
      </c>
      <c r="D4" s="7">
        <v>9.91</v>
      </c>
      <c r="E4" s="62">
        <v>0.5</v>
      </c>
      <c r="F4" s="51">
        <v>0</v>
      </c>
      <c r="G4" s="51">
        <v>0</v>
      </c>
      <c r="H4" s="51">
        <v>0</v>
      </c>
      <c r="I4" s="53">
        <f>$R4</f>
        <v>0</v>
      </c>
      <c r="J4" s="53">
        <f t="shared" si="0"/>
        <v>0</v>
      </c>
      <c r="K4" s="53">
        <f t="shared" si="0"/>
        <v>0</v>
      </c>
      <c r="L4" s="53">
        <f t="shared" si="0"/>
        <v>0</v>
      </c>
      <c r="M4" s="53">
        <f t="shared" si="0"/>
        <v>0</v>
      </c>
      <c r="N4" s="53">
        <f t="shared" si="0"/>
        <v>0</v>
      </c>
      <c r="O4" s="53">
        <f t="shared" si="0"/>
        <v>0</v>
      </c>
      <c r="P4" s="53">
        <f t="shared" si="0"/>
        <v>0</v>
      </c>
      <c r="Q4" s="51">
        <v>0</v>
      </c>
      <c r="R4" s="52">
        <v>0</v>
      </c>
      <c r="S4">
        <f t="shared" si="1"/>
        <v>0</v>
      </c>
      <c r="T4" s="74">
        <v>5825</v>
      </c>
      <c r="U4" s="48">
        <f t="shared" si="2"/>
        <v>0</v>
      </c>
      <c r="W4" s="47">
        <v>430</v>
      </c>
    </row>
    <row r="5" spans="1:23" ht="18" customHeight="1" x14ac:dyDescent="0.2">
      <c r="A5" s="7" t="s">
        <v>30</v>
      </c>
      <c r="B5" s="42" t="s">
        <v>64</v>
      </c>
      <c r="C5" s="7">
        <v>78.599999999999994</v>
      </c>
      <c r="D5" s="7">
        <v>12.15</v>
      </c>
      <c r="E5" s="62">
        <v>0.5</v>
      </c>
      <c r="F5" s="51">
        <v>0</v>
      </c>
      <c r="G5" s="51">
        <v>0</v>
      </c>
      <c r="H5" s="51">
        <v>0</v>
      </c>
      <c r="I5" s="54">
        <f>$R5</f>
        <v>0</v>
      </c>
      <c r="J5" s="54">
        <f t="shared" si="0"/>
        <v>0</v>
      </c>
      <c r="K5" s="54">
        <f t="shared" si="0"/>
        <v>0</v>
      </c>
      <c r="L5" s="54">
        <f t="shared" si="0"/>
        <v>0</v>
      </c>
      <c r="M5" s="54">
        <f t="shared" si="0"/>
        <v>0</v>
      </c>
      <c r="N5" s="54">
        <f t="shared" si="0"/>
        <v>0</v>
      </c>
      <c r="O5" s="51">
        <v>0</v>
      </c>
      <c r="P5" s="51">
        <v>0</v>
      </c>
      <c r="Q5" s="51">
        <v>0</v>
      </c>
      <c r="R5" s="52">
        <v>0</v>
      </c>
      <c r="S5">
        <f t="shared" si="1"/>
        <v>0</v>
      </c>
      <c r="T5" s="74">
        <v>3929.9999999999995</v>
      </c>
      <c r="U5" s="48">
        <f t="shared" si="2"/>
        <v>0</v>
      </c>
    </row>
    <row r="6" spans="1:23" ht="18" customHeight="1" x14ac:dyDescent="0.2">
      <c r="A6" s="7" t="s">
        <v>29</v>
      </c>
      <c r="B6" s="42" t="s">
        <v>65</v>
      </c>
      <c r="C6" s="7">
        <v>39.29</v>
      </c>
      <c r="D6" s="7">
        <v>12.2</v>
      </c>
      <c r="E6" s="62">
        <v>0.5</v>
      </c>
      <c r="F6" s="51">
        <v>0</v>
      </c>
      <c r="G6" s="51">
        <v>0</v>
      </c>
      <c r="H6" s="51">
        <v>0</v>
      </c>
      <c r="I6" s="53">
        <f>$R6</f>
        <v>0</v>
      </c>
      <c r="J6" s="53">
        <f t="shared" si="0"/>
        <v>0</v>
      </c>
      <c r="K6" s="53">
        <f t="shared" si="0"/>
        <v>0</v>
      </c>
      <c r="L6" s="53">
        <f t="shared" si="0"/>
        <v>0</v>
      </c>
      <c r="M6" s="53">
        <f t="shared" si="0"/>
        <v>0</v>
      </c>
      <c r="N6" s="53">
        <f t="shared" si="0"/>
        <v>0</v>
      </c>
      <c r="O6" s="53">
        <f t="shared" si="0"/>
        <v>0</v>
      </c>
      <c r="P6" s="51">
        <v>0</v>
      </c>
      <c r="Q6" s="51">
        <v>0</v>
      </c>
      <c r="R6" s="52">
        <v>0</v>
      </c>
      <c r="S6">
        <f t="shared" si="1"/>
        <v>0</v>
      </c>
      <c r="T6" s="74">
        <v>1964.5</v>
      </c>
      <c r="U6" s="48">
        <f t="shared" si="2"/>
        <v>0</v>
      </c>
      <c r="W6" s="61" t="s">
        <v>99</v>
      </c>
    </row>
    <row r="7" spans="1:23" ht="18" customHeight="1" x14ac:dyDescent="0.2">
      <c r="A7" s="7" t="s">
        <v>26</v>
      </c>
      <c r="B7" s="42" t="s">
        <v>66</v>
      </c>
      <c r="C7" s="7">
        <v>625</v>
      </c>
      <c r="D7" s="7">
        <v>10.3</v>
      </c>
      <c r="E7" s="62">
        <v>0.5</v>
      </c>
      <c r="F7" s="51">
        <v>0</v>
      </c>
      <c r="G7" s="51">
        <v>0</v>
      </c>
      <c r="H7" s="51">
        <v>0</v>
      </c>
      <c r="I7" s="54">
        <f>$R7</f>
        <v>0</v>
      </c>
      <c r="J7" s="54">
        <f t="shared" si="0"/>
        <v>0</v>
      </c>
      <c r="K7" s="54">
        <f t="shared" si="0"/>
        <v>0</v>
      </c>
      <c r="L7" s="54">
        <f t="shared" si="0"/>
        <v>0</v>
      </c>
      <c r="M7" s="54">
        <f t="shared" si="0"/>
        <v>0</v>
      </c>
      <c r="N7" s="54">
        <f t="shared" si="0"/>
        <v>0</v>
      </c>
      <c r="O7" s="54">
        <f t="shared" si="0"/>
        <v>0</v>
      </c>
      <c r="P7" s="51">
        <v>0</v>
      </c>
      <c r="Q7" s="51">
        <v>0</v>
      </c>
      <c r="R7" s="52">
        <v>0</v>
      </c>
      <c r="S7">
        <f t="shared" si="1"/>
        <v>0</v>
      </c>
      <c r="T7" s="74">
        <v>31250</v>
      </c>
      <c r="U7" s="48">
        <f t="shared" si="2"/>
        <v>0</v>
      </c>
      <c r="W7" s="63">
        <v>2</v>
      </c>
    </row>
    <row r="8" spans="1:23" ht="18" customHeight="1" x14ac:dyDescent="0.2">
      <c r="A8" s="7" t="s">
        <v>33</v>
      </c>
      <c r="B8" s="42" t="s">
        <v>67</v>
      </c>
      <c r="C8" s="7">
        <v>42</v>
      </c>
      <c r="D8" s="7">
        <v>9.08</v>
      </c>
      <c r="E8" s="62">
        <v>0.5</v>
      </c>
      <c r="F8" s="51">
        <v>0</v>
      </c>
      <c r="G8" s="51">
        <v>0</v>
      </c>
      <c r="H8" s="51">
        <v>0</v>
      </c>
      <c r="I8" s="53">
        <f t="shared" ref="I8:I9" si="3">$R8</f>
        <v>0</v>
      </c>
      <c r="J8" s="53">
        <f t="shared" si="0"/>
        <v>0</v>
      </c>
      <c r="K8" s="53">
        <f t="shared" si="0"/>
        <v>0</v>
      </c>
      <c r="L8" s="53">
        <f t="shared" si="0"/>
        <v>0</v>
      </c>
      <c r="M8" s="51">
        <v>0</v>
      </c>
      <c r="N8" s="51">
        <v>0</v>
      </c>
      <c r="O8" s="51">
        <v>0</v>
      </c>
      <c r="P8" s="51">
        <v>0</v>
      </c>
      <c r="Q8" s="51">
        <v>0</v>
      </c>
      <c r="R8" s="52">
        <v>0</v>
      </c>
      <c r="S8">
        <f t="shared" si="1"/>
        <v>0</v>
      </c>
      <c r="T8" s="74">
        <v>2100</v>
      </c>
      <c r="U8" s="48">
        <f t="shared" si="2"/>
        <v>0</v>
      </c>
    </row>
    <row r="9" spans="1:23" ht="18" customHeight="1" x14ac:dyDescent="0.2">
      <c r="A9" s="7" t="s">
        <v>32</v>
      </c>
      <c r="B9" s="42" t="s">
        <v>68</v>
      </c>
      <c r="C9" s="7">
        <v>42</v>
      </c>
      <c r="D9" s="7">
        <v>9.08</v>
      </c>
      <c r="E9" s="62">
        <v>0.5</v>
      </c>
      <c r="F9" s="55">
        <f>$R9</f>
        <v>0</v>
      </c>
      <c r="G9" s="55">
        <f t="shared" ref="G9:H9" si="4">$R9</f>
        <v>0</v>
      </c>
      <c r="H9" s="55">
        <f t="shared" si="4"/>
        <v>0</v>
      </c>
      <c r="I9" s="55">
        <f t="shared" si="3"/>
        <v>0</v>
      </c>
      <c r="J9" s="55">
        <f t="shared" si="0"/>
        <v>0</v>
      </c>
      <c r="K9" s="55">
        <f t="shared" si="0"/>
        <v>0</v>
      </c>
      <c r="L9" s="55">
        <f t="shared" si="0"/>
        <v>0</v>
      </c>
      <c r="M9" s="51">
        <v>0</v>
      </c>
      <c r="N9" s="51">
        <v>0</v>
      </c>
      <c r="O9" s="55">
        <f t="shared" si="0"/>
        <v>0</v>
      </c>
      <c r="P9" s="55">
        <f t="shared" si="0"/>
        <v>0</v>
      </c>
      <c r="Q9" s="55">
        <f t="shared" si="0"/>
        <v>0</v>
      </c>
      <c r="R9" s="52">
        <v>0</v>
      </c>
      <c r="S9">
        <f t="shared" si="1"/>
        <v>0</v>
      </c>
      <c r="T9" s="74">
        <v>2100</v>
      </c>
      <c r="U9" s="48">
        <f t="shared" si="2"/>
        <v>0</v>
      </c>
    </row>
    <row r="10" spans="1:23" ht="18" customHeight="1" x14ac:dyDescent="0.2">
      <c r="A10" s="7" t="s">
        <v>23</v>
      </c>
      <c r="B10" s="42" t="s">
        <v>69</v>
      </c>
      <c r="C10" s="7">
        <v>120</v>
      </c>
      <c r="D10" s="7">
        <v>15.8</v>
      </c>
      <c r="E10" s="62">
        <v>0.5</v>
      </c>
      <c r="F10" s="51">
        <v>0</v>
      </c>
      <c r="G10" s="51">
        <v>0</v>
      </c>
      <c r="H10" s="51">
        <v>0</v>
      </c>
      <c r="I10" s="51">
        <v>0</v>
      </c>
      <c r="J10" s="53">
        <f t="shared" si="0"/>
        <v>0</v>
      </c>
      <c r="K10" s="53">
        <f t="shared" si="0"/>
        <v>0</v>
      </c>
      <c r="L10" s="53">
        <f t="shared" si="0"/>
        <v>0</v>
      </c>
      <c r="M10" s="53">
        <f t="shared" si="0"/>
        <v>0</v>
      </c>
      <c r="N10" s="53">
        <f t="shared" si="0"/>
        <v>0</v>
      </c>
      <c r="O10" s="51">
        <v>0</v>
      </c>
      <c r="P10" s="51">
        <v>0</v>
      </c>
      <c r="Q10" s="51">
        <v>0</v>
      </c>
      <c r="R10" s="52">
        <v>0</v>
      </c>
      <c r="S10">
        <f t="shared" si="1"/>
        <v>0</v>
      </c>
      <c r="T10" s="74">
        <v>6000</v>
      </c>
      <c r="U10" s="48">
        <f t="shared" si="2"/>
        <v>0</v>
      </c>
    </row>
    <row r="11" spans="1:23" ht="18" customHeight="1" x14ac:dyDescent="0.2">
      <c r="A11" s="7" t="s">
        <v>28</v>
      </c>
      <c r="B11" s="42" t="s">
        <v>70</v>
      </c>
      <c r="C11" s="7">
        <v>200</v>
      </c>
      <c r="D11" s="7">
        <v>11.4</v>
      </c>
      <c r="E11" s="62">
        <v>0.5</v>
      </c>
      <c r="F11" s="51">
        <v>0</v>
      </c>
      <c r="G11" s="51">
        <v>0</v>
      </c>
      <c r="H11" s="51">
        <v>0</v>
      </c>
      <c r="I11" s="55">
        <f t="shared" si="0"/>
        <v>0</v>
      </c>
      <c r="J11" s="55">
        <f t="shared" si="0"/>
        <v>0</v>
      </c>
      <c r="K11" s="55">
        <f t="shared" si="0"/>
        <v>0</v>
      </c>
      <c r="L11" s="55">
        <f t="shared" si="0"/>
        <v>0</v>
      </c>
      <c r="M11" s="55">
        <f t="shared" si="0"/>
        <v>0</v>
      </c>
      <c r="N11" s="55">
        <f t="shared" si="0"/>
        <v>0</v>
      </c>
      <c r="O11" s="51">
        <v>0</v>
      </c>
      <c r="P11" s="51">
        <v>0</v>
      </c>
      <c r="Q11" s="51">
        <v>0</v>
      </c>
      <c r="R11" s="52">
        <v>0</v>
      </c>
      <c r="S11">
        <f t="shared" si="1"/>
        <v>0</v>
      </c>
      <c r="T11" s="74">
        <v>10000</v>
      </c>
      <c r="U11" s="48">
        <f t="shared" si="2"/>
        <v>0</v>
      </c>
    </row>
    <row r="12" spans="1:23" ht="18" customHeight="1" x14ac:dyDescent="0.2">
      <c r="A12" s="7" t="s">
        <v>24</v>
      </c>
      <c r="B12" s="42" t="s">
        <v>71</v>
      </c>
      <c r="C12" s="7">
        <v>641</v>
      </c>
      <c r="D12" s="7">
        <v>18.3</v>
      </c>
      <c r="E12" s="62">
        <v>0.5</v>
      </c>
      <c r="F12" s="51">
        <v>0</v>
      </c>
      <c r="G12" s="51">
        <v>0</v>
      </c>
      <c r="H12" s="53">
        <f t="shared" ref="H12:M12" si="5">$R12</f>
        <v>0</v>
      </c>
      <c r="I12" s="53">
        <f t="shared" si="5"/>
        <v>0</v>
      </c>
      <c r="J12" s="53">
        <f t="shared" si="5"/>
        <v>0</v>
      </c>
      <c r="K12" s="53">
        <f t="shared" si="5"/>
        <v>0</v>
      </c>
      <c r="L12" s="53">
        <f t="shared" si="5"/>
        <v>0</v>
      </c>
      <c r="M12" s="53">
        <f t="shared" si="5"/>
        <v>0</v>
      </c>
      <c r="N12" s="51">
        <v>0</v>
      </c>
      <c r="O12" s="51">
        <v>0</v>
      </c>
      <c r="P12" s="51">
        <v>0</v>
      </c>
      <c r="Q12" s="51">
        <v>0</v>
      </c>
      <c r="R12" s="52">
        <v>0</v>
      </c>
      <c r="S12">
        <f t="shared" si="1"/>
        <v>0</v>
      </c>
      <c r="T12" s="74">
        <v>32050</v>
      </c>
      <c r="U12" s="48">
        <f t="shared" si="2"/>
        <v>0</v>
      </c>
    </row>
    <row r="13" spans="1:23" ht="18" customHeight="1" x14ac:dyDescent="0.2">
      <c r="A13" s="7" t="s">
        <v>27</v>
      </c>
      <c r="B13" s="42" t="s">
        <v>72</v>
      </c>
      <c r="C13" s="7">
        <v>175</v>
      </c>
      <c r="D13" s="7">
        <v>16.100000000000001</v>
      </c>
      <c r="E13" s="62">
        <v>0.5</v>
      </c>
      <c r="F13" s="51">
        <v>0</v>
      </c>
      <c r="G13" s="51">
        <v>0</v>
      </c>
      <c r="H13" s="51">
        <v>0</v>
      </c>
      <c r="I13" s="51">
        <v>0</v>
      </c>
      <c r="J13" s="55">
        <f t="shared" si="0"/>
        <v>0</v>
      </c>
      <c r="K13" s="55">
        <f t="shared" si="0"/>
        <v>0</v>
      </c>
      <c r="L13" s="55">
        <f t="shared" si="0"/>
        <v>0</v>
      </c>
      <c r="M13" s="55">
        <f t="shared" si="0"/>
        <v>0</v>
      </c>
      <c r="N13" s="55">
        <f t="shared" si="0"/>
        <v>0</v>
      </c>
      <c r="O13" s="51">
        <v>0</v>
      </c>
      <c r="P13" s="51">
        <v>0</v>
      </c>
      <c r="Q13" s="51">
        <v>0</v>
      </c>
      <c r="R13" s="52">
        <v>0</v>
      </c>
      <c r="S13">
        <f t="shared" si="1"/>
        <v>0</v>
      </c>
      <c r="T13" s="74">
        <v>8750</v>
      </c>
      <c r="U13" s="48">
        <f t="shared" si="2"/>
        <v>0</v>
      </c>
    </row>
    <row r="14" spans="1:23" ht="18" customHeight="1" x14ac:dyDescent="0.2">
      <c r="A14" s="7" t="s">
        <v>79</v>
      </c>
      <c r="B14" s="42" t="s">
        <v>73</v>
      </c>
      <c r="C14" s="7">
        <v>31</v>
      </c>
      <c r="D14" s="7">
        <v>15.4</v>
      </c>
      <c r="E14" s="62">
        <v>0.5</v>
      </c>
      <c r="F14" s="51">
        <v>0</v>
      </c>
      <c r="G14" s="51">
        <v>0</v>
      </c>
      <c r="H14" s="51">
        <v>0</v>
      </c>
      <c r="I14" s="53">
        <f t="shared" ref="I14" si="6">$R14</f>
        <v>0</v>
      </c>
      <c r="J14" s="53">
        <f t="shared" si="0"/>
        <v>0</v>
      </c>
      <c r="K14" s="53">
        <f t="shared" si="0"/>
        <v>0</v>
      </c>
      <c r="L14" s="51">
        <v>0</v>
      </c>
      <c r="M14" s="56">
        <v>0</v>
      </c>
      <c r="N14" s="56">
        <v>0</v>
      </c>
      <c r="O14" s="56">
        <v>0</v>
      </c>
      <c r="P14" s="51">
        <v>0</v>
      </c>
      <c r="Q14" s="51">
        <v>0</v>
      </c>
      <c r="R14" s="52">
        <v>0</v>
      </c>
      <c r="S14">
        <f t="shared" si="1"/>
        <v>0</v>
      </c>
      <c r="T14" s="74">
        <v>1550</v>
      </c>
      <c r="U14" s="48">
        <f t="shared" si="2"/>
        <v>0</v>
      </c>
    </row>
    <row r="15" spans="1:23" ht="18" customHeight="1" x14ac:dyDescent="0.2">
      <c r="A15" s="7" t="s">
        <v>80</v>
      </c>
      <c r="B15" s="42" t="s">
        <v>74</v>
      </c>
      <c r="C15" s="7">
        <v>31</v>
      </c>
      <c r="D15" s="7">
        <v>15.4</v>
      </c>
      <c r="E15" s="62">
        <v>0.5</v>
      </c>
      <c r="F15" s="51">
        <v>0</v>
      </c>
      <c r="G15" s="51">
        <v>0</v>
      </c>
      <c r="H15" s="51">
        <v>0</v>
      </c>
      <c r="I15" s="56">
        <v>0</v>
      </c>
      <c r="J15" s="56">
        <v>0</v>
      </c>
      <c r="K15" s="56">
        <v>0</v>
      </c>
      <c r="L15" s="51">
        <v>0</v>
      </c>
      <c r="M15" s="55">
        <f t="shared" si="0"/>
        <v>0</v>
      </c>
      <c r="N15" s="55">
        <f t="shared" si="0"/>
        <v>0</v>
      </c>
      <c r="O15" s="55">
        <f t="shared" si="0"/>
        <v>0</v>
      </c>
      <c r="P15" s="51">
        <v>0</v>
      </c>
      <c r="Q15" s="51">
        <v>0</v>
      </c>
      <c r="R15" s="52">
        <v>0</v>
      </c>
      <c r="S15">
        <f t="shared" si="1"/>
        <v>0</v>
      </c>
      <c r="T15" s="74">
        <v>1550</v>
      </c>
      <c r="U15" s="48">
        <f t="shared" si="2"/>
        <v>0</v>
      </c>
    </row>
    <row r="16" spans="1:23" ht="18" customHeight="1" thickBot="1" x14ac:dyDescent="0.25">
      <c r="A16" s="7" t="s">
        <v>34</v>
      </c>
      <c r="B16" s="42" t="s">
        <v>81</v>
      </c>
      <c r="C16" s="7">
        <v>15.46</v>
      </c>
      <c r="D16" s="7">
        <v>5.178E-2</v>
      </c>
      <c r="E16" s="62">
        <v>0.5</v>
      </c>
      <c r="F16" s="70">
        <v>0</v>
      </c>
      <c r="G16" s="70">
        <v>0</v>
      </c>
      <c r="H16" s="71">
        <f t="shared" ref="H16:L16" si="7">$R16</f>
        <v>0</v>
      </c>
      <c r="I16" s="71">
        <f t="shared" si="7"/>
        <v>0</v>
      </c>
      <c r="J16" s="71">
        <f t="shared" si="7"/>
        <v>0</v>
      </c>
      <c r="K16" s="71">
        <f t="shared" si="7"/>
        <v>0</v>
      </c>
      <c r="L16" s="71">
        <f t="shared" si="7"/>
        <v>0</v>
      </c>
      <c r="M16" s="71">
        <f t="shared" si="0"/>
        <v>0</v>
      </c>
      <c r="N16" s="72">
        <v>0</v>
      </c>
      <c r="O16" s="72">
        <v>0</v>
      </c>
      <c r="P16" s="70">
        <v>0</v>
      </c>
      <c r="Q16" s="70">
        <v>0</v>
      </c>
      <c r="R16" s="52">
        <v>0</v>
      </c>
      <c r="S16">
        <f t="shared" si="1"/>
        <v>0</v>
      </c>
      <c r="T16" s="74">
        <v>773</v>
      </c>
      <c r="U16" s="64">
        <f t="shared" si="2"/>
        <v>0</v>
      </c>
    </row>
    <row r="17" spans="5:22" ht="18" customHeight="1" x14ac:dyDescent="0.2">
      <c r="E17" s="60" t="s">
        <v>101</v>
      </c>
      <c r="F17" s="57">
        <f>SUM(F3:F16)</f>
        <v>0</v>
      </c>
      <c r="G17" s="57">
        <f t="shared" ref="G17:Q17" si="8">SUM(G3:G16)</f>
        <v>0</v>
      </c>
      <c r="H17" s="57">
        <f t="shared" si="8"/>
        <v>0</v>
      </c>
      <c r="I17" s="57">
        <f t="shared" si="8"/>
        <v>0</v>
      </c>
      <c r="J17" s="57">
        <f t="shared" si="8"/>
        <v>0</v>
      </c>
      <c r="K17" s="57">
        <f t="shared" si="8"/>
        <v>0</v>
      </c>
      <c r="L17" s="57">
        <f t="shared" si="8"/>
        <v>0</v>
      </c>
      <c r="M17" s="57">
        <f t="shared" si="8"/>
        <v>0</v>
      </c>
      <c r="N17" s="57">
        <f t="shared" si="8"/>
        <v>0</v>
      </c>
      <c r="O17" s="57">
        <f t="shared" si="8"/>
        <v>0</v>
      </c>
      <c r="P17" s="57">
        <f t="shared" si="8"/>
        <v>0</v>
      </c>
      <c r="Q17" s="57">
        <f t="shared" si="8"/>
        <v>0</v>
      </c>
      <c r="R17" s="58"/>
      <c r="U17" s="66">
        <f>SUM(U3:U16)</f>
        <v>0</v>
      </c>
      <c r="V17" t="s">
        <v>95</v>
      </c>
    </row>
    <row r="18" spans="5:22" ht="18" customHeight="1" thickBot="1" x14ac:dyDescent="0.25">
      <c r="E18" s="60" t="s">
        <v>102</v>
      </c>
      <c r="F18">
        <v>342</v>
      </c>
      <c r="G18">
        <v>106</v>
      </c>
      <c r="H18">
        <v>358</v>
      </c>
      <c r="I18">
        <v>154</v>
      </c>
      <c r="J18">
        <v>51</v>
      </c>
      <c r="K18">
        <v>207</v>
      </c>
      <c r="L18">
        <v>12</v>
      </c>
      <c r="M18">
        <v>142</v>
      </c>
      <c r="N18">
        <v>497</v>
      </c>
      <c r="O18">
        <v>414</v>
      </c>
      <c r="P18">
        <v>459</v>
      </c>
      <c r="Q18">
        <v>312</v>
      </c>
      <c r="U18" s="65">
        <f>SUM(F21:Q21)</f>
        <v>0</v>
      </c>
      <c r="V18" t="s">
        <v>117</v>
      </c>
    </row>
    <row r="19" spans="5:22" ht="18" customHeight="1" thickTop="1" x14ac:dyDescent="0.2">
      <c r="E19" s="60" t="s">
        <v>97</v>
      </c>
      <c r="F19">
        <f>SUMPRODUCT(F3:F16,$E$3:$E$16)</f>
        <v>0</v>
      </c>
      <c r="G19">
        <f t="shared" ref="G19:Q19" si="9">SUMPRODUCT(G3:G16,$E$3:$E$16)</f>
        <v>0</v>
      </c>
      <c r="H19">
        <f t="shared" si="9"/>
        <v>0</v>
      </c>
      <c r="I19">
        <f t="shared" si="9"/>
        <v>0</v>
      </c>
      <c r="J19">
        <f t="shared" si="9"/>
        <v>0</v>
      </c>
      <c r="K19">
        <f t="shared" si="9"/>
        <v>0</v>
      </c>
      <c r="L19">
        <f t="shared" si="9"/>
        <v>0</v>
      </c>
      <c r="M19">
        <f t="shared" si="9"/>
        <v>0</v>
      </c>
      <c r="N19">
        <f t="shared" si="9"/>
        <v>0</v>
      </c>
      <c r="O19">
        <f t="shared" si="9"/>
        <v>0</v>
      </c>
      <c r="P19">
        <f t="shared" si="9"/>
        <v>0</v>
      </c>
      <c r="Q19">
        <f t="shared" si="9"/>
        <v>0</v>
      </c>
      <c r="U19" s="67">
        <f>U17-U18</f>
        <v>0</v>
      </c>
      <c r="V19" t="s">
        <v>37</v>
      </c>
    </row>
    <row r="20" spans="5:22" ht="18" customHeight="1" thickBot="1" x14ac:dyDescent="0.25">
      <c r="E20" s="68" t="s">
        <v>115</v>
      </c>
      <c r="F20" s="69">
        <f>IF(F18&lt;F19,ABS(F18-F19),0)</f>
        <v>0</v>
      </c>
      <c r="G20" s="69">
        <f t="shared" ref="G20:Q20" si="10">IF(G18&lt;G19,ABS(G18-G19),0)</f>
        <v>0</v>
      </c>
      <c r="H20" s="69">
        <f t="shared" si="10"/>
        <v>0</v>
      </c>
      <c r="I20" s="69">
        <f t="shared" si="10"/>
        <v>0</v>
      </c>
      <c r="J20" s="69">
        <f t="shared" si="10"/>
        <v>0</v>
      </c>
      <c r="K20" s="69">
        <f t="shared" si="10"/>
        <v>0</v>
      </c>
      <c r="L20" s="69">
        <f t="shared" si="10"/>
        <v>0</v>
      </c>
      <c r="M20" s="69">
        <f t="shared" si="10"/>
        <v>0</v>
      </c>
      <c r="N20" s="69">
        <f t="shared" si="10"/>
        <v>0</v>
      </c>
      <c r="O20" s="69">
        <f t="shared" si="10"/>
        <v>0</v>
      </c>
      <c r="P20" s="69">
        <f t="shared" si="10"/>
        <v>0</v>
      </c>
      <c r="Q20" s="69">
        <f t="shared" si="10"/>
        <v>0</v>
      </c>
    </row>
    <row r="21" spans="5:22" ht="59" x14ac:dyDescent="0.2">
      <c r="E21" s="60" t="s">
        <v>116</v>
      </c>
      <c r="F21" s="73">
        <f t="shared" ref="F21:Q21" si="11">F20*$W$7</f>
        <v>0</v>
      </c>
      <c r="G21" s="73">
        <f t="shared" si="11"/>
        <v>0</v>
      </c>
      <c r="H21" s="73">
        <f t="shared" si="11"/>
        <v>0</v>
      </c>
      <c r="I21" s="73">
        <f t="shared" si="11"/>
        <v>0</v>
      </c>
      <c r="J21" s="73">
        <f t="shared" si="11"/>
        <v>0</v>
      </c>
      <c r="K21" s="73">
        <f t="shared" si="11"/>
        <v>0</v>
      </c>
      <c r="L21" s="73">
        <f t="shared" si="11"/>
        <v>0</v>
      </c>
      <c r="M21" s="73">
        <f t="shared" si="11"/>
        <v>0</v>
      </c>
      <c r="N21" s="73">
        <f t="shared" si="11"/>
        <v>0</v>
      </c>
      <c r="O21" s="73">
        <f t="shared" si="11"/>
        <v>0</v>
      </c>
      <c r="P21" s="73">
        <f t="shared" si="11"/>
        <v>0</v>
      </c>
      <c r="Q21" s="73">
        <f t="shared" si="11"/>
        <v>0</v>
      </c>
    </row>
    <row r="22" spans="5:22" ht="18" customHeight="1" x14ac:dyDescent="0.2">
      <c r="E22"/>
    </row>
    <row r="23" spans="5:22" ht="18" customHeight="1" x14ac:dyDescent="0.2">
      <c r="E23"/>
    </row>
    <row r="25" spans="5:22" ht="18" customHeight="1" x14ac:dyDescent="0.2">
      <c r="E25"/>
    </row>
    <row r="26" spans="5:22" ht="18" customHeight="1" x14ac:dyDescent="0.2">
      <c r="E26"/>
    </row>
    <row r="27" spans="5:22" ht="18" customHeight="1" x14ac:dyDescent="0.2">
      <c r="E27"/>
    </row>
    <row r="28" spans="5:22" ht="18" customHeight="1" x14ac:dyDescent="0.2">
      <c r="E28"/>
    </row>
    <row r="29" spans="5:22" ht="18" customHeight="1" x14ac:dyDescent="0.2">
      <c r="E29"/>
    </row>
    <row r="30" spans="5:22" ht="18" customHeight="1" x14ac:dyDescent="0.2">
      <c r="E30"/>
    </row>
    <row r="31" spans="5:22" ht="18" customHeight="1" x14ac:dyDescent="0.2">
      <c r="E31"/>
    </row>
    <row r="32" spans="5:22" ht="18" customHeight="1" x14ac:dyDescent="0.2">
      <c r="E32"/>
    </row>
    <row r="33" spans="5:5" ht="18" customHeight="1" x14ac:dyDescent="0.2">
      <c r="E33"/>
    </row>
    <row r="34" spans="5:5" ht="18" customHeight="1" x14ac:dyDescent="0.2">
      <c r="E34"/>
    </row>
    <row r="35" spans="5:5" ht="18" customHeight="1" x14ac:dyDescent="0.2">
      <c r="E35"/>
    </row>
    <row r="36" spans="5:5" ht="18" customHeight="1" x14ac:dyDescent="0.2">
      <c r="E36"/>
    </row>
    <row r="37" spans="5:5" ht="18" customHeight="1" x14ac:dyDescent="0.2">
      <c r="E37"/>
    </row>
    <row r="38" spans="5:5" ht="18" customHeight="1" x14ac:dyDescent="0.2">
      <c r="E38"/>
    </row>
    <row r="39" spans="5:5" ht="18" customHeight="1" x14ac:dyDescent="0.2">
      <c r="E39"/>
    </row>
    <row r="40" spans="5:5" ht="18" customHeight="1" x14ac:dyDescent="0.2">
      <c r="E40"/>
    </row>
    <row r="41" spans="5:5" ht="18" customHeight="1" x14ac:dyDescent="0.2">
      <c r="E41"/>
    </row>
    <row r="42" spans="5:5" ht="18" customHeight="1" x14ac:dyDescent="0.2">
      <c r="E42"/>
    </row>
    <row r="43" spans="5:5" ht="18" customHeight="1" x14ac:dyDescent="0.2">
      <c r="E43"/>
    </row>
    <row r="44" spans="5:5" ht="18" customHeight="1" x14ac:dyDescent="0.2">
      <c r="E44"/>
    </row>
    <row r="45" spans="5:5" ht="18" customHeight="1" x14ac:dyDescent="0.2">
      <c r="E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Average Farm Calculation</vt:lpstr>
      <vt:lpstr>Model</vt:lpstr>
      <vt:lpstr>ModelSeasons</vt:lpstr>
      <vt:lpstr>ModelMonthly</vt:lpstr>
      <vt:lpstr>ModelDemand (Hypothetical)</vt:lpstr>
      <vt:lpstr>ModelWaterAnnual</vt:lpstr>
      <vt:lpstr>Linearity Report 1</vt:lpstr>
      <vt:lpstr>ModelWaterMonthly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Chuck Gunderson</dc:creator>
  <cp:lastModifiedBy>Chuck Gunderson</cp:lastModifiedBy>
  <dcterms:created xsi:type="dcterms:W3CDTF">2025-05-05T19:12:56Z</dcterms:created>
  <dcterms:modified xsi:type="dcterms:W3CDTF">2025-05-27T20:58:11Z</dcterms:modified>
</cp:coreProperties>
</file>