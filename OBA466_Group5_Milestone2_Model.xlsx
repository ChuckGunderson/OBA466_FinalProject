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obo/Desktop/Old Papers:Projects/Classes/Jr_Spring 25'/OBA 466/TermProject/"/>
    </mc:Choice>
  </mc:AlternateContent>
  <xr:revisionPtr revIDLastSave="0" documentId="13_ncr:1_{93542508-BBB5-9F48-AD69-C2E55C331861}" xr6:coauthVersionLast="47" xr6:coauthVersionMax="47" xr10:uidLastSave="{00000000-0000-0000-0000-000000000000}"/>
  <bookViews>
    <workbookView xWindow="1340" yWindow="500" windowWidth="25980" windowHeight="14860" activeTab="3" xr2:uid="{96C3C40F-0F7E-C744-9AFB-BDA97473819C}"/>
  </bookViews>
  <sheets>
    <sheet name="ModelSeasons" sheetId="4" state="hidden" r:id="rId1"/>
    <sheet name="ModelMonthly" sheetId="8" state="hidden" r:id="rId2"/>
    <sheet name="ModelDemand (Hypothetical)" sheetId="9" state="hidden" r:id="rId3"/>
    <sheet name="Model" sheetId="11" r:id="rId4"/>
    <sheet name="Answer Report 1" sheetId="15" r:id="rId5"/>
    <sheet name="ModelAnnualWater (2)" sheetId="13" state="hidden" r:id="rId6"/>
    <sheet name="ModelMonthlyWater" sheetId="10" state="hidden" r:id="rId7"/>
  </sheets>
  <definedNames>
    <definedName name="solver_adj" localSheetId="3" hidden="1">Model!$R$2:$R$15</definedName>
    <definedName name="solver_adj" localSheetId="5" hidden="1">'ModelAnnualWater (2)'!$R$2:$R$15</definedName>
    <definedName name="solver_adj" localSheetId="2" hidden="1">'ModelDemand (Hypothetical)'!$Q$3:$Q$16</definedName>
    <definedName name="solver_adj" localSheetId="1" hidden="1">ModelMonthly!$Q$3:$Q$16</definedName>
    <definedName name="solver_adj" localSheetId="6" hidden="1">ModelMonthlyWater!$S$3:$S$16</definedName>
    <definedName name="solver_adj" localSheetId="0" hidden="1">ModelSeasons!$X$3:$X$16</definedName>
    <definedName name="solver_cvg" localSheetId="3" hidden="1">0.0001</definedName>
    <definedName name="solver_cvg" localSheetId="5" hidden="1">0.0001</definedName>
    <definedName name="solver_cvg" localSheetId="2" hidden="1">0.0001</definedName>
    <definedName name="solver_cvg" localSheetId="1" hidden="1">0.0001</definedName>
    <definedName name="solver_cvg" localSheetId="6" hidden="1">0.0001</definedName>
    <definedName name="solver_cvg" localSheetId="0" hidden="1">0.0001</definedName>
    <definedName name="solver_drv" localSheetId="3" hidden="1">1</definedName>
    <definedName name="solver_drv" localSheetId="5" hidden="1">1</definedName>
    <definedName name="solver_drv" localSheetId="2" hidden="1">1</definedName>
    <definedName name="solver_drv" localSheetId="1" hidden="1">1</definedName>
    <definedName name="solver_drv" localSheetId="6" hidden="1">1</definedName>
    <definedName name="solver_drv" localSheetId="0" hidden="1">1</definedName>
    <definedName name="solver_eng" localSheetId="3" hidden="1">2</definedName>
    <definedName name="solver_eng" localSheetId="5" hidden="1">2</definedName>
    <definedName name="solver_eng" localSheetId="2" hidden="1">2</definedName>
    <definedName name="solver_eng" localSheetId="1" hidden="1">2</definedName>
    <definedName name="solver_eng" localSheetId="6" hidden="1">2</definedName>
    <definedName name="solver_eng" localSheetId="0" hidden="1">2</definedName>
    <definedName name="solver_itr" localSheetId="3" hidden="1">2147483647</definedName>
    <definedName name="solver_itr" localSheetId="5" hidden="1">2147483647</definedName>
    <definedName name="solver_itr" localSheetId="2" hidden="1">2147483647</definedName>
    <definedName name="solver_itr" localSheetId="1" hidden="1">2147483647</definedName>
    <definedName name="solver_itr" localSheetId="6" hidden="1">2147483647</definedName>
    <definedName name="solver_itr" localSheetId="0" hidden="1">2147483647</definedName>
    <definedName name="solver_lhs1" localSheetId="3" hidden="1">Model!$F$16:$Q$16</definedName>
    <definedName name="solver_lhs1" localSheetId="5" hidden="1">'ModelAnnualWater (2)'!$F$16:$Q$16</definedName>
    <definedName name="solver_lhs1" localSheetId="2" hidden="1">'ModelDemand (Hypothetical)'!$E$17:$P$17</definedName>
    <definedName name="solver_lhs1" localSheetId="1" hidden="1">ModelMonthly!$E$17:$P$17</definedName>
    <definedName name="solver_lhs1" localSheetId="6" hidden="1">ModelMonthlyWater!$G$17:$R$17</definedName>
    <definedName name="solver_lhs1" localSheetId="0" hidden="1">ModelSeasons!$T$17</definedName>
    <definedName name="solver_lhs2" localSheetId="3" hidden="1">Model!$R$2:$R$15</definedName>
    <definedName name="solver_lhs2" localSheetId="5" hidden="1">'ModelAnnualWater (2)'!$R$2:$R$15</definedName>
    <definedName name="solver_lhs2" localSheetId="2" hidden="1">'ModelDemand (Hypothetical)'!$Q$3:$Q$16</definedName>
    <definedName name="solver_lhs2" localSheetId="1" hidden="1">ModelMonthly!$Q$3:$Q$16</definedName>
    <definedName name="solver_lhs2" localSheetId="6" hidden="1">ModelMonthlyWater!$S$3:$S$16</definedName>
    <definedName name="solver_lhs2" localSheetId="0" hidden="1">ModelSeasons!$U$17</definedName>
    <definedName name="solver_lhs3" localSheetId="3" hidden="1">Model!$R$2:$R$15</definedName>
    <definedName name="solver_lhs3" localSheetId="5" hidden="1">'ModelAnnualWater (2)'!$R$2:$R$15</definedName>
    <definedName name="solver_lhs3" localSheetId="2" hidden="1">'ModelDemand (Hypothetical)'!$Q$3:$Q$16</definedName>
    <definedName name="solver_lhs3" localSheetId="1" hidden="1">ModelMonthly!$Q$3:$Q$16</definedName>
    <definedName name="solver_lhs3" localSheetId="6" hidden="1">ModelMonthlyWater!$S$3:$S$16</definedName>
    <definedName name="solver_lhs3" localSheetId="0" hidden="1">ModelSeasons!$V$17</definedName>
    <definedName name="solver_lhs4" localSheetId="3" hidden="1">Model!$S$2:$S$15</definedName>
    <definedName name="solver_lhs4" localSheetId="2" hidden="1">'ModelDemand (Hypothetical)'!$R$3:$R$16</definedName>
    <definedName name="solver_lhs4" localSheetId="1" hidden="1">ModelMonthly!$H$17</definedName>
    <definedName name="solver_lhs4" localSheetId="6" hidden="1">ModelMonthlyWater!$J$17</definedName>
    <definedName name="solver_lhs4" localSheetId="0" hidden="1">ModelSeasons!$W$17</definedName>
    <definedName name="solver_lhs5" localSheetId="2" hidden="1">'ModelDemand (Hypothetical)'!$Q$3:$Q$16</definedName>
    <definedName name="solver_lhs5" localSheetId="1" hidden="1">ModelMonthly!$Q$3:$Q$16</definedName>
    <definedName name="solver_lhs5" localSheetId="6" hidden="1">ModelMonthlyWater!$S$3:$S$16</definedName>
    <definedName name="solver_lhs5" localSheetId="0" hidden="1">ModelSeasons!$X$3:$X$16</definedName>
    <definedName name="solver_lhs6" localSheetId="2" hidden="1">'ModelDemand (Hypothetical)'!$Q$3:$Q$16</definedName>
    <definedName name="solver_lhs6" localSheetId="1" hidden="1">ModelMonthly!$Q$3:$Q$16</definedName>
    <definedName name="solver_lhs6" localSheetId="6" hidden="1">ModelMonthlyWater!$S$3:$S$16</definedName>
    <definedName name="solver_lhs6" localSheetId="0" hidden="1">ModelSeasons!$X$3:$X$16</definedName>
    <definedName name="solver_lin" localSheetId="3" hidden="1">1</definedName>
    <definedName name="solver_lin" localSheetId="5" hidden="1">1</definedName>
    <definedName name="solver_lin" localSheetId="2" hidden="1">1</definedName>
    <definedName name="solver_lin" localSheetId="1" hidden="1">1</definedName>
    <definedName name="solver_lin" localSheetId="6" hidden="1">1</definedName>
    <definedName name="solver_lin" localSheetId="0" hidden="1">1</definedName>
    <definedName name="solver_mip" localSheetId="3" hidden="1">2147483647</definedName>
    <definedName name="solver_mip" localSheetId="5" hidden="1">2147483647</definedName>
    <definedName name="solver_mip" localSheetId="2" hidden="1">2147483647</definedName>
    <definedName name="solver_mip" localSheetId="1" hidden="1">2147483647</definedName>
    <definedName name="solver_mip" localSheetId="6" hidden="1">2147483647</definedName>
    <definedName name="solver_mip" localSheetId="0" hidden="1">2147483647</definedName>
    <definedName name="solver_mni" localSheetId="3" hidden="1">30</definedName>
    <definedName name="solver_mni" localSheetId="5" hidden="1">30</definedName>
    <definedName name="solver_mni" localSheetId="2" hidden="1">30</definedName>
    <definedName name="solver_mni" localSheetId="1" hidden="1">30</definedName>
    <definedName name="solver_mni" localSheetId="6" hidden="1">30</definedName>
    <definedName name="solver_mni" localSheetId="0" hidden="1">30</definedName>
    <definedName name="solver_mrt" localSheetId="3" hidden="1">0.075</definedName>
    <definedName name="solver_mrt" localSheetId="5" hidden="1">0.075</definedName>
    <definedName name="solver_mrt" localSheetId="2" hidden="1">0.075</definedName>
    <definedName name="solver_mrt" localSheetId="1" hidden="1">0.075</definedName>
    <definedName name="solver_mrt" localSheetId="6" hidden="1">0.075</definedName>
    <definedName name="solver_mrt" localSheetId="0" hidden="1">0.075</definedName>
    <definedName name="solver_msl" localSheetId="3" hidden="1">2</definedName>
    <definedName name="solver_msl" localSheetId="5" hidden="1">2</definedName>
    <definedName name="solver_msl" localSheetId="2" hidden="1">2</definedName>
    <definedName name="solver_msl" localSheetId="1" hidden="1">2</definedName>
    <definedName name="solver_msl" localSheetId="6" hidden="1">2</definedName>
    <definedName name="solver_msl" localSheetId="0" hidden="1">2</definedName>
    <definedName name="solver_neg" localSheetId="3" hidden="1">1</definedName>
    <definedName name="solver_neg" localSheetId="5" hidden="1">1</definedName>
    <definedName name="solver_neg" localSheetId="2" hidden="1">1</definedName>
    <definedName name="solver_neg" localSheetId="1" hidden="1">1</definedName>
    <definedName name="solver_neg" localSheetId="6" hidden="1">1</definedName>
    <definedName name="solver_neg" localSheetId="0" hidden="1">1</definedName>
    <definedName name="solver_nod" localSheetId="3" hidden="1">2147483647</definedName>
    <definedName name="solver_nod" localSheetId="5" hidden="1">2147483647</definedName>
    <definedName name="solver_nod" localSheetId="2" hidden="1">2147483647</definedName>
    <definedName name="solver_nod" localSheetId="1" hidden="1">2147483647</definedName>
    <definedName name="solver_nod" localSheetId="6" hidden="1">2147483647</definedName>
    <definedName name="solver_nod" localSheetId="0" hidden="1">2147483647</definedName>
    <definedName name="solver_num" localSheetId="3" hidden="1">3</definedName>
    <definedName name="solver_num" localSheetId="5" hidden="1">3</definedName>
    <definedName name="solver_num" localSheetId="2" hidden="1">4</definedName>
    <definedName name="solver_num" localSheetId="1" hidden="1">3</definedName>
    <definedName name="solver_num" localSheetId="6" hidden="1">3</definedName>
    <definedName name="solver_num" localSheetId="0" hidden="1">6</definedName>
    <definedName name="solver_opt" localSheetId="3" hidden="1">Model!$U$18</definedName>
    <definedName name="solver_opt" localSheetId="5" hidden="1">'ModelAnnualWater (2)'!$V$18</definedName>
    <definedName name="solver_opt" localSheetId="2" hidden="1">'ModelDemand (Hypothetical)'!$T$17</definedName>
    <definedName name="solver_opt" localSheetId="1" hidden="1">ModelMonthly!$S$17</definedName>
    <definedName name="solver_opt" localSheetId="6" hidden="1">ModelMonthlyWater!$Y$17</definedName>
    <definedName name="solver_opt" localSheetId="0" hidden="1">ModelSeasons!$Z$17</definedName>
    <definedName name="solver_pre" localSheetId="3" hidden="1">0.000001</definedName>
    <definedName name="solver_pre" localSheetId="5" hidden="1">0.000001</definedName>
    <definedName name="solver_pre" localSheetId="2" hidden="1">0.000001</definedName>
    <definedName name="solver_pre" localSheetId="1" hidden="1">0.000001</definedName>
    <definedName name="solver_pre" localSheetId="6" hidden="1">0.000001</definedName>
    <definedName name="solver_pre" localSheetId="0" hidden="1">0.000001</definedName>
    <definedName name="solver_rbv" localSheetId="3" hidden="1">1</definedName>
    <definedName name="solver_rbv" localSheetId="5" hidden="1">1</definedName>
    <definedName name="solver_rbv" localSheetId="2" hidden="1">1</definedName>
    <definedName name="solver_rbv" localSheetId="1" hidden="1">1</definedName>
    <definedName name="solver_rbv" localSheetId="6" hidden="1">1</definedName>
    <definedName name="solver_rbv" localSheetId="0" hidden="1">1</definedName>
    <definedName name="solver_rel1" localSheetId="3" hidden="1">1</definedName>
    <definedName name="solver_rel1" localSheetId="5" hidden="1">1</definedName>
    <definedName name="solver_rel1" localSheetId="2" hidden="1">1</definedName>
    <definedName name="solver_rel1" localSheetId="1" hidden="1">1</definedName>
    <definedName name="solver_rel1" localSheetId="6" hidden="1">1</definedName>
    <definedName name="solver_rel1" localSheetId="0" hidden="1">1</definedName>
    <definedName name="solver_rel2" localSheetId="3" hidden="1">4</definedName>
    <definedName name="solver_rel2" localSheetId="5" hidden="1">4</definedName>
    <definedName name="solver_rel2" localSheetId="2" hidden="1">4</definedName>
    <definedName name="solver_rel2" localSheetId="1" hidden="1">4</definedName>
    <definedName name="solver_rel2" localSheetId="6" hidden="1">4</definedName>
    <definedName name="solver_rel2" localSheetId="0" hidden="1">1</definedName>
    <definedName name="solver_rel3" localSheetId="3" hidden="1">3</definedName>
    <definedName name="solver_rel3" localSheetId="5" hidden="1">3</definedName>
    <definedName name="solver_rel3" localSheetId="2" hidden="1">3</definedName>
    <definedName name="solver_rel3" localSheetId="1" hidden="1">3</definedName>
    <definedName name="solver_rel3" localSheetId="6" hidden="1">3</definedName>
    <definedName name="solver_rel3" localSheetId="0" hidden="1">1</definedName>
    <definedName name="solver_rel4" localSheetId="3" hidden="1">1</definedName>
    <definedName name="solver_rel4" localSheetId="2" hidden="1">1</definedName>
    <definedName name="solver_rel4" localSheetId="1" hidden="1">1</definedName>
    <definedName name="solver_rel4" localSheetId="6" hidden="1">1</definedName>
    <definedName name="solver_rel4" localSheetId="0" hidden="1">1</definedName>
    <definedName name="solver_rel5" localSheetId="2" hidden="1">4</definedName>
    <definedName name="solver_rel5" localSheetId="1" hidden="1">4</definedName>
    <definedName name="solver_rel5" localSheetId="6" hidden="1">4</definedName>
    <definedName name="solver_rel5" localSheetId="0" hidden="1">4</definedName>
    <definedName name="solver_rel6" localSheetId="2" hidden="1">3</definedName>
    <definedName name="solver_rel6" localSheetId="1" hidden="1">3</definedName>
    <definedName name="solver_rel6" localSheetId="6" hidden="1">3</definedName>
    <definedName name="solver_rel6" localSheetId="0" hidden="1">3</definedName>
    <definedName name="solver_rhs1" localSheetId="3" hidden="1">Model!$A$19</definedName>
    <definedName name="solver_rhs1" localSheetId="5" hidden="1">'ModelAnnualWater (2)'!$A$19</definedName>
    <definedName name="solver_rhs1" localSheetId="2" hidden="1">'ModelDemand (Hypothetical)'!$B$18</definedName>
    <definedName name="solver_rhs1" localSheetId="1" hidden="1">ModelMonthly!$B$18</definedName>
    <definedName name="solver_rhs1" localSheetId="6" hidden="1">ModelMonthlyWater!$A$20</definedName>
    <definedName name="solver_rhs1" localSheetId="0" hidden="1">ModelSeasons!$Q$18</definedName>
    <definedName name="solver_rhs2" localSheetId="3" hidden="1">"integer"</definedName>
    <definedName name="solver_rhs2" localSheetId="5" hidden="1">"integer"</definedName>
    <definedName name="solver_rhs2" localSheetId="2" hidden="1">"integer"</definedName>
    <definedName name="solver_rhs2" localSheetId="1" hidden="1">"integer"</definedName>
    <definedName name="solver_rhs2" localSheetId="6" hidden="1">"integer"</definedName>
    <definedName name="solver_rhs2" localSheetId="0" hidden="1">ModelSeasons!$Q$18</definedName>
    <definedName name="solver_rhs3" localSheetId="3" hidden="1">0</definedName>
    <definedName name="solver_rhs3" localSheetId="5" hidden="1">0</definedName>
    <definedName name="solver_rhs3" localSheetId="2" hidden="1">0</definedName>
    <definedName name="solver_rhs3" localSheetId="1" hidden="1">0</definedName>
    <definedName name="solver_rhs3" localSheetId="6" hidden="1">0</definedName>
    <definedName name="solver_rhs3" localSheetId="0" hidden="1">ModelSeasons!$Q$18</definedName>
    <definedName name="solver_rhs4" localSheetId="3" hidden="1">Model!#REF!</definedName>
    <definedName name="solver_rhs4" localSheetId="2" hidden="1">'ModelDemand (Hypothetical)'!$S$3:$S$16</definedName>
    <definedName name="solver_rhs4" localSheetId="1" hidden="1">ModelMonthly!$B$18</definedName>
    <definedName name="solver_rhs4" localSheetId="6" hidden="1">ModelMonthlyWater!$A$20</definedName>
    <definedName name="solver_rhs4" localSheetId="0" hidden="1">ModelSeasons!$Q$18</definedName>
    <definedName name="solver_rhs5" localSheetId="2" hidden="1">"integer"</definedName>
    <definedName name="solver_rhs5" localSheetId="1" hidden="1">"integer"</definedName>
    <definedName name="solver_rhs5" localSheetId="6" hidden="1">"integer"</definedName>
    <definedName name="solver_rhs5" localSheetId="0" hidden="1">"integer"</definedName>
    <definedName name="solver_rhs6" localSheetId="2" hidden="1">0</definedName>
    <definedName name="solver_rhs6" localSheetId="1" hidden="1">0</definedName>
    <definedName name="solver_rhs6" localSheetId="6" hidden="1">0</definedName>
    <definedName name="solver_rhs6" localSheetId="0" hidden="1">0</definedName>
    <definedName name="solver_rlx" localSheetId="3" hidden="1">2</definedName>
    <definedName name="solver_rlx" localSheetId="5" hidden="1">2</definedName>
    <definedName name="solver_rlx" localSheetId="2" hidden="1">2</definedName>
    <definedName name="solver_rlx" localSheetId="1" hidden="1">2</definedName>
    <definedName name="solver_rlx" localSheetId="6" hidden="1">2</definedName>
    <definedName name="solver_rlx" localSheetId="0" hidden="1">2</definedName>
    <definedName name="solver_rsd" localSheetId="3" hidden="1">0</definedName>
    <definedName name="solver_rsd" localSheetId="5" hidden="1">0</definedName>
    <definedName name="solver_rsd" localSheetId="2" hidden="1">0</definedName>
    <definedName name="solver_rsd" localSheetId="1" hidden="1">0</definedName>
    <definedName name="solver_rsd" localSheetId="6" hidden="1">0</definedName>
    <definedName name="solver_rsd" localSheetId="0" hidden="1">0</definedName>
    <definedName name="solver_scl" localSheetId="3" hidden="1">1</definedName>
    <definedName name="solver_scl" localSheetId="5" hidden="1">1</definedName>
    <definedName name="solver_scl" localSheetId="2" hidden="1">1</definedName>
    <definedName name="solver_scl" localSheetId="1" hidden="1">1</definedName>
    <definedName name="solver_scl" localSheetId="6" hidden="1">1</definedName>
    <definedName name="solver_scl" localSheetId="0" hidden="1">1</definedName>
    <definedName name="solver_sho" localSheetId="3" hidden="1">2</definedName>
    <definedName name="solver_sho" localSheetId="5" hidden="1">2</definedName>
    <definedName name="solver_sho" localSheetId="2" hidden="1">2</definedName>
    <definedName name="solver_sho" localSheetId="1" hidden="1">2</definedName>
    <definedName name="solver_sho" localSheetId="6" hidden="1">2</definedName>
    <definedName name="solver_sho" localSheetId="0" hidden="1">2</definedName>
    <definedName name="solver_ssz" localSheetId="3" hidden="1">100</definedName>
    <definedName name="solver_ssz" localSheetId="5" hidden="1">100</definedName>
    <definedName name="solver_ssz" localSheetId="2" hidden="1">100</definedName>
    <definedName name="solver_ssz" localSheetId="1" hidden="1">100</definedName>
    <definedName name="solver_ssz" localSheetId="6" hidden="1">100</definedName>
    <definedName name="solver_ssz" localSheetId="0" hidden="1">100</definedName>
    <definedName name="solver_tim" localSheetId="3" hidden="1">2147483647</definedName>
    <definedName name="solver_tim" localSheetId="5" hidden="1">2147483647</definedName>
    <definedName name="solver_tim" localSheetId="2" hidden="1">2147483647</definedName>
    <definedName name="solver_tim" localSheetId="1" hidden="1">2147483647</definedName>
    <definedName name="solver_tim" localSheetId="6" hidden="1">2147483647</definedName>
    <definedName name="solver_tim" localSheetId="0" hidden="1">2147483647</definedName>
    <definedName name="solver_tol" localSheetId="3" hidden="1">0.01</definedName>
    <definedName name="solver_tol" localSheetId="5" hidden="1">0.01</definedName>
    <definedName name="solver_tol" localSheetId="2" hidden="1">0.01</definedName>
    <definedName name="solver_tol" localSheetId="1" hidden="1">0.01</definedName>
    <definedName name="solver_tol" localSheetId="6" hidden="1">0.01</definedName>
    <definedName name="solver_tol" localSheetId="0" hidden="1">0.01</definedName>
    <definedName name="solver_typ" localSheetId="3" hidden="1">1</definedName>
    <definedName name="solver_typ" localSheetId="5" hidden="1">1</definedName>
    <definedName name="solver_typ" localSheetId="2" hidden="1">1</definedName>
    <definedName name="solver_typ" localSheetId="1" hidden="1">1</definedName>
    <definedName name="solver_typ" localSheetId="6" hidden="1">1</definedName>
    <definedName name="solver_typ" localSheetId="0" hidden="1">1</definedName>
    <definedName name="solver_val" localSheetId="3" hidden="1">0</definedName>
    <definedName name="solver_val" localSheetId="5" hidden="1">0</definedName>
    <definedName name="solver_val" localSheetId="2" hidden="1">0</definedName>
    <definedName name="solver_val" localSheetId="1" hidden="1">0</definedName>
    <definedName name="solver_val" localSheetId="6" hidden="1">0</definedName>
    <definedName name="solver_val" localSheetId="0" hidden="1">0</definedName>
    <definedName name="solver_ver" localSheetId="3" hidden="1">2</definedName>
    <definedName name="solver_ver" localSheetId="5" hidden="1">2</definedName>
    <definedName name="solver_ver" localSheetId="2" hidden="1">2</definedName>
    <definedName name="solver_ver" localSheetId="1" hidden="1">2</definedName>
    <definedName name="solver_ver" localSheetId="6" hidden="1">2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1" l="1"/>
  <c r="X8" i="11"/>
  <c r="X7" i="11" a="1"/>
  <c r="X7" i="11" s="1"/>
  <c r="X6" i="11" a="1"/>
  <c r="X6" i="11" s="1"/>
  <c r="X5" i="11" a="1"/>
  <c r="X4" i="11"/>
  <c r="U15" i="13"/>
  <c r="T15" i="13"/>
  <c r="S15" i="13"/>
  <c r="V15" i="13" s="1"/>
  <c r="M15" i="13"/>
  <c r="L15" i="13"/>
  <c r="K15" i="13"/>
  <c r="J15" i="13"/>
  <c r="I15" i="13"/>
  <c r="H15" i="13"/>
  <c r="V14" i="13"/>
  <c r="U14" i="13"/>
  <c r="T14" i="13"/>
  <c r="S14" i="13"/>
  <c r="O14" i="13"/>
  <c r="N14" i="13"/>
  <c r="M14" i="13"/>
  <c r="V13" i="13"/>
  <c r="U13" i="13"/>
  <c r="T13" i="13"/>
  <c r="S13" i="13"/>
  <c r="K13" i="13"/>
  <c r="J13" i="13"/>
  <c r="I13" i="13"/>
  <c r="U12" i="13"/>
  <c r="T12" i="13"/>
  <c r="S12" i="13"/>
  <c r="V12" i="13" s="1"/>
  <c r="N12" i="13"/>
  <c r="M12" i="13"/>
  <c r="L12" i="13"/>
  <c r="K12" i="13"/>
  <c r="J12" i="13"/>
  <c r="V11" i="13"/>
  <c r="U11" i="13"/>
  <c r="T11" i="13"/>
  <c r="S11" i="13"/>
  <c r="M11" i="13"/>
  <c r="L11" i="13"/>
  <c r="K11" i="13"/>
  <c r="J11" i="13"/>
  <c r="I11" i="13"/>
  <c r="H11" i="13"/>
  <c r="V10" i="13"/>
  <c r="U10" i="13"/>
  <c r="T10" i="13"/>
  <c r="S10" i="13"/>
  <c r="N10" i="13"/>
  <c r="M10" i="13"/>
  <c r="L10" i="13"/>
  <c r="K10" i="13"/>
  <c r="J10" i="13"/>
  <c r="I10" i="13"/>
  <c r="V9" i="13"/>
  <c r="U9" i="13"/>
  <c r="T9" i="13"/>
  <c r="T16" i="13" s="1"/>
  <c r="V17" i="13" s="1"/>
  <c r="S9" i="13"/>
  <c r="N9" i="13"/>
  <c r="M9" i="13"/>
  <c r="L9" i="13"/>
  <c r="K9" i="13"/>
  <c r="J9" i="13"/>
  <c r="V8" i="13"/>
  <c r="U8" i="13"/>
  <c r="T8" i="13"/>
  <c r="S8" i="13"/>
  <c r="Q8" i="13"/>
  <c r="P8" i="13"/>
  <c r="O8" i="13"/>
  <c r="L8" i="13"/>
  <c r="K8" i="13"/>
  <c r="J8" i="13"/>
  <c r="I8" i="13"/>
  <c r="H8" i="13"/>
  <c r="G8" i="13"/>
  <c r="F8" i="13"/>
  <c r="U7" i="13"/>
  <c r="T7" i="13"/>
  <c r="S7" i="13"/>
  <c r="V7" i="13" s="1"/>
  <c r="L7" i="13"/>
  <c r="K7" i="13"/>
  <c r="J7" i="13"/>
  <c r="I7" i="13"/>
  <c r="U6" i="13"/>
  <c r="T6" i="13"/>
  <c r="S6" i="13"/>
  <c r="V6" i="13" s="1"/>
  <c r="O6" i="13"/>
  <c r="N6" i="13"/>
  <c r="M6" i="13"/>
  <c r="L6" i="13"/>
  <c r="K6" i="13"/>
  <c r="J6" i="13"/>
  <c r="I6" i="13"/>
  <c r="V5" i="13"/>
  <c r="U5" i="13"/>
  <c r="T5" i="13"/>
  <c r="S5" i="13"/>
  <c r="O5" i="13"/>
  <c r="N5" i="13"/>
  <c r="M5" i="13"/>
  <c r="L5" i="13"/>
  <c r="K5" i="13"/>
  <c r="J5" i="13"/>
  <c r="I5" i="13"/>
  <c r="V4" i="13"/>
  <c r="U4" i="13"/>
  <c r="T4" i="13"/>
  <c r="S4" i="13"/>
  <c r="N4" i="13"/>
  <c r="M4" i="13"/>
  <c r="L4" i="13"/>
  <c r="K4" i="13"/>
  <c r="J4" i="13"/>
  <c r="I4" i="13"/>
  <c r="U3" i="13"/>
  <c r="T3" i="13"/>
  <c r="S3" i="13"/>
  <c r="V3" i="13" s="1"/>
  <c r="P3" i="13"/>
  <c r="O3" i="13"/>
  <c r="N3" i="13"/>
  <c r="M3" i="13"/>
  <c r="L3" i="13"/>
  <c r="K3" i="13"/>
  <c r="J3" i="13"/>
  <c r="I3" i="13"/>
  <c r="U2" i="13"/>
  <c r="T2" i="13"/>
  <c r="S2" i="13"/>
  <c r="V2" i="13" s="1"/>
  <c r="M2" i="13"/>
  <c r="L2" i="13"/>
  <c r="K2" i="13"/>
  <c r="J2" i="13"/>
  <c r="I2" i="13"/>
  <c r="H2" i="13"/>
  <c r="S11" i="11"/>
  <c r="U11" i="11" s="1"/>
  <c r="T11" i="11"/>
  <c r="T2" i="11"/>
  <c r="T3" i="11"/>
  <c r="T4" i="11"/>
  <c r="T5" i="11"/>
  <c r="T6" i="11"/>
  <c r="T7" i="11"/>
  <c r="T8" i="11"/>
  <c r="T9" i="11"/>
  <c r="T10" i="11"/>
  <c r="T12" i="11"/>
  <c r="T13" i="11"/>
  <c r="T14" i="11"/>
  <c r="T15" i="11"/>
  <c r="S7" i="9"/>
  <c r="S15" i="11"/>
  <c r="U15" i="11" s="1"/>
  <c r="M15" i="11"/>
  <c r="L15" i="11"/>
  <c r="K15" i="11"/>
  <c r="J15" i="11"/>
  <c r="I15" i="11"/>
  <c r="H15" i="11"/>
  <c r="S14" i="11"/>
  <c r="U14" i="11" s="1"/>
  <c r="O14" i="11"/>
  <c r="N14" i="11"/>
  <c r="M14" i="11"/>
  <c r="S13" i="11"/>
  <c r="U13" i="11" s="1"/>
  <c r="K13" i="11"/>
  <c r="J13" i="11"/>
  <c r="I13" i="11"/>
  <c r="S12" i="11"/>
  <c r="U12" i="11" s="1"/>
  <c r="N12" i="11"/>
  <c r="M12" i="11"/>
  <c r="L12" i="11"/>
  <c r="K12" i="11"/>
  <c r="J12" i="11"/>
  <c r="M11" i="11"/>
  <c r="L11" i="11"/>
  <c r="K11" i="11"/>
  <c r="J11" i="11"/>
  <c r="I11" i="11"/>
  <c r="H11" i="11"/>
  <c r="S10" i="11"/>
  <c r="U10" i="11" s="1"/>
  <c r="N10" i="11"/>
  <c r="M10" i="11"/>
  <c r="L10" i="11"/>
  <c r="K10" i="11"/>
  <c r="J10" i="11"/>
  <c r="I10" i="11"/>
  <c r="S9" i="11"/>
  <c r="U9" i="11" s="1"/>
  <c r="N9" i="11"/>
  <c r="M9" i="11"/>
  <c r="L9" i="11"/>
  <c r="K9" i="11"/>
  <c r="J9" i="11"/>
  <c r="S8" i="11"/>
  <c r="U8" i="11" s="1"/>
  <c r="Q8" i="11"/>
  <c r="Q16" i="11" s="1"/>
  <c r="P8" i="11"/>
  <c r="O8" i="11"/>
  <c r="L8" i="11"/>
  <c r="K8" i="11"/>
  <c r="J8" i="11"/>
  <c r="I8" i="11"/>
  <c r="H8" i="11"/>
  <c r="G8" i="11"/>
  <c r="F8" i="11"/>
  <c r="F16" i="11" s="1"/>
  <c r="S7" i="11"/>
  <c r="U7" i="11" s="1"/>
  <c r="L7" i="11"/>
  <c r="K7" i="11"/>
  <c r="J7" i="11"/>
  <c r="I7" i="11"/>
  <c r="S6" i="11"/>
  <c r="U6" i="11" s="1"/>
  <c r="O6" i="11"/>
  <c r="N6" i="11"/>
  <c r="M6" i="11"/>
  <c r="L6" i="11"/>
  <c r="K6" i="11"/>
  <c r="J6" i="11"/>
  <c r="I6" i="11"/>
  <c r="S5" i="11"/>
  <c r="U5" i="11" s="1"/>
  <c r="O5" i="11"/>
  <c r="N5" i="11"/>
  <c r="M5" i="11"/>
  <c r="L5" i="11"/>
  <c r="K5" i="11"/>
  <c r="J5" i="11"/>
  <c r="I5" i="11"/>
  <c r="S4" i="11"/>
  <c r="U4" i="11" s="1"/>
  <c r="N4" i="11"/>
  <c r="M4" i="11"/>
  <c r="L4" i="11"/>
  <c r="K4" i="11"/>
  <c r="J4" i="11"/>
  <c r="I4" i="11"/>
  <c r="S3" i="11"/>
  <c r="U3" i="11" s="1"/>
  <c r="P3" i="11"/>
  <c r="O3" i="11"/>
  <c r="N3" i="11"/>
  <c r="M3" i="11"/>
  <c r="L3" i="11"/>
  <c r="K3" i="11"/>
  <c r="J3" i="11"/>
  <c r="I3" i="11"/>
  <c r="S2" i="11"/>
  <c r="M2" i="11"/>
  <c r="L2" i="11"/>
  <c r="K2" i="11"/>
  <c r="J2" i="11"/>
  <c r="I2" i="11"/>
  <c r="H2" i="11"/>
  <c r="X5" i="11" l="1"/>
  <c r="U2" i="11"/>
  <c r="U16" i="11" s="1"/>
  <c r="V16" i="13"/>
  <c r="V18" i="13" s="1"/>
  <c r="T16" i="11"/>
  <c r="U17" i="11" s="1"/>
  <c r="P16" i="11"/>
  <c r="J16" i="11"/>
  <c r="L16" i="11"/>
  <c r="I16" i="11"/>
  <c r="M16" i="11"/>
  <c r="O16" i="11"/>
  <c r="H16" i="11"/>
  <c r="K16" i="11"/>
  <c r="N16" i="11"/>
  <c r="G16" i="11"/>
  <c r="U18" i="11" l="1"/>
  <c r="X3" i="11" s="1"/>
  <c r="U16" i="10"/>
  <c r="T16" i="10"/>
  <c r="S16" i="10"/>
  <c r="M16" i="10"/>
  <c r="L16" i="10"/>
  <c r="K16" i="10"/>
  <c r="J16" i="10"/>
  <c r="I16" i="10"/>
  <c r="H16" i="10"/>
  <c r="T15" i="10"/>
  <c r="S15" i="10"/>
  <c r="U15" i="10" s="1"/>
  <c r="O15" i="10"/>
  <c r="N15" i="10"/>
  <c r="M15" i="10"/>
  <c r="T14" i="10"/>
  <c r="S14" i="10"/>
  <c r="U14" i="10" s="1"/>
  <c r="K14" i="10"/>
  <c r="J14" i="10"/>
  <c r="I14" i="10"/>
  <c r="T13" i="10"/>
  <c r="S13" i="10"/>
  <c r="U13" i="10" s="1"/>
  <c r="N13" i="10"/>
  <c r="M13" i="10"/>
  <c r="L13" i="10"/>
  <c r="K13" i="10"/>
  <c r="J13" i="10"/>
  <c r="T12" i="10"/>
  <c r="S12" i="10"/>
  <c r="U12" i="10" s="1"/>
  <c r="M12" i="10"/>
  <c r="L12" i="10"/>
  <c r="K12" i="10"/>
  <c r="J12" i="10"/>
  <c r="I12" i="10"/>
  <c r="H12" i="10"/>
  <c r="T11" i="10"/>
  <c r="S11" i="10"/>
  <c r="U11" i="10" s="1"/>
  <c r="N11" i="10"/>
  <c r="M11" i="10"/>
  <c r="L11" i="10"/>
  <c r="K11" i="10"/>
  <c r="J11" i="10"/>
  <c r="I11" i="10"/>
  <c r="U10" i="10"/>
  <c r="T10" i="10"/>
  <c r="S10" i="10"/>
  <c r="N10" i="10"/>
  <c r="M10" i="10"/>
  <c r="L10" i="10"/>
  <c r="K10" i="10"/>
  <c r="J10" i="10"/>
  <c r="T9" i="10"/>
  <c r="S9" i="10"/>
  <c r="U9" i="10" s="1"/>
  <c r="Q9" i="10"/>
  <c r="Q17" i="10" s="1"/>
  <c r="P9" i="10"/>
  <c r="O9" i="10"/>
  <c r="L9" i="10"/>
  <c r="K9" i="10"/>
  <c r="J9" i="10"/>
  <c r="I9" i="10"/>
  <c r="H9" i="10"/>
  <c r="G9" i="10"/>
  <c r="G17" i="10" s="1"/>
  <c r="F9" i="10"/>
  <c r="F17" i="10" s="1"/>
  <c r="U8" i="10"/>
  <c r="T8" i="10"/>
  <c r="S8" i="10"/>
  <c r="L8" i="10"/>
  <c r="K8" i="10"/>
  <c r="J8" i="10"/>
  <c r="I8" i="10"/>
  <c r="T7" i="10"/>
  <c r="S7" i="10"/>
  <c r="U7" i="10" s="1"/>
  <c r="O7" i="10"/>
  <c r="N7" i="10"/>
  <c r="M7" i="10"/>
  <c r="L7" i="10"/>
  <c r="K7" i="10"/>
  <c r="J7" i="10"/>
  <c r="I7" i="10"/>
  <c r="T6" i="10"/>
  <c r="S6" i="10"/>
  <c r="U6" i="10" s="1"/>
  <c r="O6" i="10"/>
  <c r="N6" i="10"/>
  <c r="M6" i="10"/>
  <c r="L6" i="10"/>
  <c r="K6" i="10"/>
  <c r="J6" i="10"/>
  <c r="I6" i="10"/>
  <c r="T5" i="10"/>
  <c r="S5" i="10"/>
  <c r="U5" i="10" s="1"/>
  <c r="N5" i="10"/>
  <c r="M5" i="10"/>
  <c r="L5" i="10"/>
  <c r="K5" i="10"/>
  <c r="J5" i="10"/>
  <c r="I5" i="10"/>
  <c r="T4" i="10"/>
  <c r="S4" i="10"/>
  <c r="U4" i="10" s="1"/>
  <c r="P4" i="10"/>
  <c r="P17" i="10" s="1"/>
  <c r="O4" i="10"/>
  <c r="N4" i="10"/>
  <c r="M4" i="10"/>
  <c r="L4" i="10"/>
  <c r="K4" i="10"/>
  <c r="J4" i="10"/>
  <c r="I4" i="10"/>
  <c r="U3" i="10"/>
  <c r="T3" i="10"/>
  <c r="S3" i="10"/>
  <c r="M3" i="10"/>
  <c r="L3" i="10"/>
  <c r="L17" i="10" s="1"/>
  <c r="K3" i="10"/>
  <c r="J3" i="10"/>
  <c r="I3" i="10"/>
  <c r="H3" i="10"/>
  <c r="H17" i="10" s="1"/>
  <c r="N17" i="10" l="1"/>
  <c r="J17" i="10"/>
  <c r="K17" i="10"/>
  <c r="O17" i="10"/>
  <c r="I17" i="10"/>
  <c r="M17" i="10"/>
  <c r="G20" i="10"/>
  <c r="G21" i="10" s="1"/>
  <c r="N20" i="10"/>
  <c r="N21" i="10" s="1"/>
  <c r="U17" i="10"/>
  <c r="K20" i="10"/>
  <c r="K21" i="10" s="1"/>
  <c r="O20" i="10"/>
  <c r="O21" i="10" s="1"/>
  <c r="H20" i="10"/>
  <c r="H21" i="10" s="1"/>
  <c r="L20" i="10"/>
  <c r="L21" i="10" s="1"/>
  <c r="P20" i="10"/>
  <c r="P21" i="10" s="1"/>
  <c r="I20" i="10"/>
  <c r="I21" i="10" s="1"/>
  <c r="M20" i="10"/>
  <c r="M21" i="10" s="1"/>
  <c r="Q20" i="10"/>
  <c r="Q21" i="10" s="1"/>
  <c r="F20" i="10"/>
  <c r="F21" i="10" s="1"/>
  <c r="J20" i="10"/>
  <c r="J21" i="10" s="1"/>
  <c r="U18" i="10" l="1"/>
  <c r="U19" i="10" s="1"/>
  <c r="S4" i="9" l="1"/>
  <c r="S5" i="9"/>
  <c r="S6" i="9"/>
  <c r="S8" i="9"/>
  <c r="S9" i="9"/>
  <c r="S10" i="9"/>
  <c r="S11" i="9"/>
  <c r="S12" i="9"/>
  <c r="S13" i="9"/>
  <c r="S14" i="9"/>
  <c r="S15" i="9"/>
  <c r="S16" i="9"/>
  <c r="S3" i="9"/>
  <c r="R16" i="9"/>
  <c r="T16" i="9" s="1"/>
  <c r="L16" i="9"/>
  <c r="K16" i="9"/>
  <c r="J16" i="9"/>
  <c r="I16" i="9"/>
  <c r="H16" i="9"/>
  <c r="G16" i="9"/>
  <c r="R15" i="9"/>
  <c r="T15" i="9" s="1"/>
  <c r="N15" i="9"/>
  <c r="M15" i="9"/>
  <c r="L15" i="9"/>
  <c r="R14" i="9"/>
  <c r="T14" i="9" s="1"/>
  <c r="J14" i="9"/>
  <c r="I14" i="9"/>
  <c r="H14" i="9"/>
  <c r="R13" i="9"/>
  <c r="T13" i="9" s="1"/>
  <c r="M13" i="9"/>
  <c r="L13" i="9"/>
  <c r="K13" i="9"/>
  <c r="J13" i="9"/>
  <c r="I13" i="9"/>
  <c r="R12" i="9"/>
  <c r="T12" i="9" s="1"/>
  <c r="L12" i="9"/>
  <c r="K12" i="9"/>
  <c r="J12" i="9"/>
  <c r="I12" i="9"/>
  <c r="H12" i="9"/>
  <c r="G12" i="9"/>
  <c r="R11" i="9"/>
  <c r="T11" i="9" s="1"/>
  <c r="M11" i="9"/>
  <c r="L11" i="9"/>
  <c r="K11" i="9"/>
  <c r="J11" i="9"/>
  <c r="I11" i="9"/>
  <c r="H11" i="9"/>
  <c r="R10" i="9"/>
  <c r="T10" i="9" s="1"/>
  <c r="M10" i="9"/>
  <c r="L10" i="9"/>
  <c r="K10" i="9"/>
  <c r="J10" i="9"/>
  <c r="I10" i="9"/>
  <c r="R9" i="9"/>
  <c r="T9" i="9" s="1"/>
  <c r="P9" i="9"/>
  <c r="P17" i="9" s="1"/>
  <c r="O9" i="9"/>
  <c r="N9" i="9"/>
  <c r="K9" i="9"/>
  <c r="J9" i="9"/>
  <c r="I9" i="9"/>
  <c r="H9" i="9"/>
  <c r="G9" i="9"/>
  <c r="F9" i="9"/>
  <c r="F17" i="9" s="1"/>
  <c r="E9" i="9"/>
  <c r="E17" i="9" s="1"/>
  <c r="R8" i="9"/>
  <c r="T8" i="9" s="1"/>
  <c r="K8" i="9"/>
  <c r="J8" i="9"/>
  <c r="I8" i="9"/>
  <c r="H8" i="9"/>
  <c r="R7" i="9"/>
  <c r="T7" i="9" s="1"/>
  <c r="N7" i="9"/>
  <c r="M7" i="9"/>
  <c r="L7" i="9"/>
  <c r="K7" i="9"/>
  <c r="J7" i="9"/>
  <c r="I7" i="9"/>
  <c r="H7" i="9"/>
  <c r="R6" i="9"/>
  <c r="T6" i="9" s="1"/>
  <c r="N6" i="9"/>
  <c r="M6" i="9"/>
  <c r="L6" i="9"/>
  <c r="K6" i="9"/>
  <c r="J6" i="9"/>
  <c r="I6" i="9"/>
  <c r="H6" i="9"/>
  <c r="R5" i="9"/>
  <c r="T5" i="9" s="1"/>
  <c r="M5" i="9"/>
  <c r="L5" i="9"/>
  <c r="K5" i="9"/>
  <c r="J5" i="9"/>
  <c r="I5" i="9"/>
  <c r="H5" i="9"/>
  <c r="R4" i="9"/>
  <c r="T4" i="9" s="1"/>
  <c r="O4" i="9"/>
  <c r="N4" i="9"/>
  <c r="M4" i="9"/>
  <c r="L4" i="9"/>
  <c r="K4" i="9"/>
  <c r="J4" i="9"/>
  <c r="I4" i="9"/>
  <c r="H4" i="9"/>
  <c r="R3" i="9"/>
  <c r="T3" i="9" s="1"/>
  <c r="L3" i="9"/>
  <c r="K3" i="9"/>
  <c r="J3" i="9"/>
  <c r="I3" i="9"/>
  <c r="H3" i="9"/>
  <c r="G3" i="9"/>
  <c r="S10" i="8"/>
  <c r="S15" i="8"/>
  <c r="S3" i="8"/>
  <c r="R4" i="8"/>
  <c r="S4" i="8" s="1"/>
  <c r="R5" i="8"/>
  <c r="S5" i="8" s="1"/>
  <c r="R6" i="8"/>
  <c r="S6" i="8" s="1"/>
  <c r="R7" i="8"/>
  <c r="S7" i="8" s="1"/>
  <c r="R8" i="8"/>
  <c r="S8" i="8" s="1"/>
  <c r="R9" i="8"/>
  <c r="S9" i="8" s="1"/>
  <c r="R10" i="8"/>
  <c r="R11" i="8"/>
  <c r="S11" i="8" s="1"/>
  <c r="R13" i="8"/>
  <c r="S13" i="8" s="1"/>
  <c r="R14" i="8"/>
  <c r="S14" i="8" s="1"/>
  <c r="R15" i="8"/>
  <c r="R16" i="8"/>
  <c r="S16" i="8" s="1"/>
  <c r="R3" i="8"/>
  <c r="L16" i="8"/>
  <c r="K16" i="8"/>
  <c r="J16" i="8"/>
  <c r="I16" i="8"/>
  <c r="H16" i="8"/>
  <c r="G16" i="8"/>
  <c r="J14" i="8"/>
  <c r="I14" i="8"/>
  <c r="H14" i="8"/>
  <c r="L12" i="8"/>
  <c r="K12" i="8"/>
  <c r="J12" i="8"/>
  <c r="I12" i="8"/>
  <c r="H12" i="8"/>
  <c r="G12" i="8"/>
  <c r="M10" i="8"/>
  <c r="L10" i="8"/>
  <c r="K10" i="8"/>
  <c r="J10" i="8"/>
  <c r="I10" i="8"/>
  <c r="N15" i="8"/>
  <c r="M15" i="8"/>
  <c r="L15" i="8"/>
  <c r="M13" i="8"/>
  <c r="L13" i="8"/>
  <c r="K13" i="8"/>
  <c r="J13" i="8"/>
  <c r="I13" i="8"/>
  <c r="M11" i="8"/>
  <c r="L11" i="8"/>
  <c r="K11" i="8"/>
  <c r="J11" i="8"/>
  <c r="I11" i="8"/>
  <c r="H11" i="8"/>
  <c r="P9" i="8"/>
  <c r="O9" i="8"/>
  <c r="N9" i="8"/>
  <c r="F9" i="8"/>
  <c r="G9" i="8"/>
  <c r="H9" i="8"/>
  <c r="I9" i="8"/>
  <c r="J9" i="8"/>
  <c r="K9" i="8"/>
  <c r="E9" i="8"/>
  <c r="K8" i="8"/>
  <c r="J8" i="8"/>
  <c r="I8" i="8"/>
  <c r="H8" i="8"/>
  <c r="I7" i="8"/>
  <c r="J7" i="8"/>
  <c r="K7" i="8"/>
  <c r="L7" i="8"/>
  <c r="M7" i="8"/>
  <c r="N7" i="8"/>
  <c r="H7" i="8"/>
  <c r="I6" i="8"/>
  <c r="J6" i="8"/>
  <c r="K6" i="8"/>
  <c r="L6" i="8"/>
  <c r="M6" i="8"/>
  <c r="N6" i="8"/>
  <c r="H6" i="8"/>
  <c r="I5" i="8"/>
  <c r="J5" i="8"/>
  <c r="K5" i="8"/>
  <c r="L5" i="8"/>
  <c r="M5" i="8"/>
  <c r="G17" i="9" l="1"/>
  <c r="K17" i="9"/>
  <c r="J17" i="9"/>
  <c r="H17" i="9"/>
  <c r="L17" i="9"/>
  <c r="N17" i="9"/>
  <c r="M17" i="9"/>
  <c r="I17" i="9"/>
  <c r="T17" i="9"/>
  <c r="O17" i="9"/>
  <c r="H5" i="8"/>
  <c r="I4" i="8"/>
  <c r="J4" i="8"/>
  <c r="K4" i="8"/>
  <c r="L4" i="8"/>
  <c r="M4" i="8"/>
  <c r="M17" i="8" s="1"/>
  <c r="N4" i="8"/>
  <c r="N17" i="8" s="1"/>
  <c r="O4" i="8"/>
  <c r="O17" i="8" s="1"/>
  <c r="H4" i="8"/>
  <c r="H3" i="8"/>
  <c r="I3" i="8"/>
  <c r="J3" i="8"/>
  <c r="K3" i="8"/>
  <c r="L3" i="8"/>
  <c r="G3" i="8"/>
  <c r="G17" i="8" s="1"/>
  <c r="P17" i="8"/>
  <c r="R12" i="8"/>
  <c r="S12" i="8" s="1"/>
  <c r="E17" i="8"/>
  <c r="F17" i="8"/>
  <c r="T9" i="4"/>
  <c r="W9" i="4"/>
  <c r="W17" i="4" s="1"/>
  <c r="V8" i="4"/>
  <c r="V7" i="4"/>
  <c r="V6" i="4"/>
  <c r="V5" i="4"/>
  <c r="V4" i="4"/>
  <c r="V3" i="4"/>
  <c r="V13" i="4"/>
  <c r="V12" i="4"/>
  <c r="V11" i="4"/>
  <c r="V10" i="4"/>
  <c r="V15" i="4"/>
  <c r="V16" i="4"/>
  <c r="U16" i="4"/>
  <c r="U4" i="4"/>
  <c r="U5" i="4"/>
  <c r="U6" i="4"/>
  <c r="U7" i="4"/>
  <c r="Y7" i="4" s="1"/>
  <c r="Z7" i="4" s="1"/>
  <c r="U8" i="4"/>
  <c r="U9" i="4"/>
  <c r="U10" i="4"/>
  <c r="U11" i="4"/>
  <c r="U12" i="4"/>
  <c r="U13" i="4"/>
  <c r="U14" i="4"/>
  <c r="U3" i="4"/>
  <c r="Y13" i="4"/>
  <c r="Z13" i="4" s="1"/>
  <c r="Y12" i="4"/>
  <c r="Z12" i="4" s="1"/>
  <c r="Y11" i="4"/>
  <c r="Z11" i="4" s="1"/>
  <c r="Y10" i="4"/>
  <c r="Z10" i="4" s="1"/>
  <c r="Y5" i="4"/>
  <c r="Z5" i="4" s="1"/>
  <c r="Y4" i="4"/>
  <c r="Z4" i="4" s="1"/>
  <c r="Y6" i="4"/>
  <c r="Z6" i="4" s="1"/>
  <c r="Y8" i="4"/>
  <c r="Z8" i="4" s="1"/>
  <c r="Y14" i="4"/>
  <c r="Z14" i="4" s="1"/>
  <c r="Y15" i="4"/>
  <c r="Z15" i="4" s="1"/>
  <c r="Y16" i="4"/>
  <c r="Z16" i="4" s="1"/>
  <c r="J17" i="8" l="1"/>
  <c r="L17" i="8"/>
  <c r="K17" i="8"/>
  <c r="I17" i="8"/>
  <c r="H17" i="8"/>
  <c r="S17" i="8"/>
  <c r="T17" i="4"/>
  <c r="Y9" i="4"/>
  <c r="Z9" i="4" s="1"/>
  <c r="Y3" i="4" l="1"/>
  <c r="Z3" i="4" s="1"/>
  <c r="Z17" i="4" s="1"/>
  <c r="U17" i="4"/>
  <c r="V17" i="4" l="1"/>
</calcChain>
</file>

<file path=xl/sharedStrings.xml><?xml version="1.0" encoding="utf-8"?>
<sst xmlns="http://schemas.openxmlformats.org/spreadsheetml/2006/main" count="533" uniqueCount="194">
  <si>
    <t>Winter</t>
  </si>
  <si>
    <t>Spring</t>
  </si>
  <si>
    <t>Summer</t>
  </si>
  <si>
    <t>Fall</t>
  </si>
  <si>
    <t>CROP</t>
  </si>
  <si>
    <t>Variable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</si>
  <si>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</si>
  <si>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</si>
  <si>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</si>
  <si>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</si>
  <si>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</si>
  <si>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</si>
  <si>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</si>
  <si>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</si>
  <si>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</si>
  <si>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</si>
  <si>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</si>
  <si>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</si>
  <si>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Crop</t>
  </si>
  <si>
    <t>Yield (y)</t>
  </si>
  <si>
    <t>Price (p)</t>
  </si>
  <si>
    <t>Winter Acres</t>
  </si>
  <si>
    <t>Spring Acres</t>
  </si>
  <si>
    <t>Summer Acres</t>
  </si>
  <si>
    <t>Fall Acres</t>
  </si>
  <si>
    <t>Acres Plant</t>
  </si>
  <si>
    <t>Total Yield</t>
  </si>
  <si>
    <t>Total Profit</t>
  </si>
  <si>
    <t>Barley</t>
  </si>
  <si>
    <t>x1</t>
  </si>
  <si>
    <t>Corn, grain</t>
  </si>
  <si>
    <t>x2</t>
  </si>
  <si>
    <t>Corn, Grain</t>
  </si>
  <si>
    <t>Alfalfa</t>
  </si>
  <si>
    <t>x3</t>
  </si>
  <si>
    <t>Hay, Alfalfa</t>
  </si>
  <si>
    <t>Hay</t>
  </si>
  <si>
    <t>x4</t>
  </si>
  <si>
    <t>Hay, (excl alfalfa)</t>
  </si>
  <si>
    <t>Potato</t>
  </si>
  <si>
    <t>x5</t>
  </si>
  <si>
    <t>Potatoes</t>
  </si>
  <si>
    <t>Wheat, Spring</t>
  </si>
  <si>
    <t>x6</t>
  </si>
  <si>
    <t>Wheat, Winter</t>
  </si>
  <si>
    <t>x7</t>
  </si>
  <si>
    <t>Beans</t>
  </si>
  <si>
    <t>x8</t>
  </si>
  <si>
    <t>Beans, Snap</t>
  </si>
  <si>
    <t>Corn, Sweer</t>
  </si>
  <si>
    <t>x9</t>
  </si>
  <si>
    <t>Corn, Sweet</t>
  </si>
  <si>
    <t>Onions</t>
  </si>
  <si>
    <t>x10</t>
  </si>
  <si>
    <t>Onions, Dry</t>
  </si>
  <si>
    <t>Squash</t>
  </si>
  <si>
    <t>x11</t>
  </si>
  <si>
    <t>Green Peas 1</t>
  </si>
  <si>
    <t>x12</t>
  </si>
  <si>
    <t>Peas, Green 1</t>
  </si>
  <si>
    <t>Green Peas 2</t>
  </si>
  <si>
    <t>x13</t>
  </si>
  <si>
    <t>Peas, Green 2</t>
  </si>
  <si>
    <t>Hops</t>
  </si>
  <si>
    <t>x14</t>
  </si>
  <si>
    <t>Farm Size</t>
  </si>
  <si>
    <t>multi period crops ???</t>
  </si>
  <si>
    <t>x1,1 + x1,2 = x1</t>
  </si>
  <si>
    <t>Demand</t>
  </si>
  <si>
    <t>Revenue</t>
  </si>
  <si>
    <t>^where demand is only 50 acres worth of crop x</t>
  </si>
  <si>
    <t>Microsoft Excel 16.89 Answer Report</t>
  </si>
  <si>
    <t>Worksheet: [Model 1.xlsx]Model</t>
  </si>
  <si>
    <t>Result: Solver found a solution.  All constraints and optimality conditions are satisfied.</t>
  </si>
  <si>
    <t>Solver Engine</t>
  </si>
  <si>
    <t>Engine: Simplex LP</t>
  </si>
  <si>
    <t>Solver Options</t>
  </si>
  <si>
    <t>Max Time Unlimited,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</si>
  <si>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</si>
  <si>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</si>
  <si>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</si>
  <si>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</si>
  <si>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</si>
  <si>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</si>
  <si>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Farm Size Total Profit</t>
  </si>
  <si>
    <t>Variable Cells</t>
  </si>
  <si>
    <t>Integer</t>
  </si>
  <si>
    <t>$R$2</t>
  </si>
  <si>
    <t>$R$3</t>
  </si>
  <si>
    <t>$R$4</t>
  </si>
  <si>
    <t>$R$5</t>
  </si>
  <si>
    <t>$R$6</t>
  </si>
  <si>
    <t>$R$7</t>
  </si>
  <si>
    <t>$R$8</t>
  </si>
  <si>
    <t>$R$9</t>
  </si>
  <si>
    <t>$R$10</t>
  </si>
  <si>
    <t>$R$11</t>
  </si>
  <si>
    <t>$R$12</t>
  </si>
  <si>
    <t>$R$13</t>
  </si>
  <si>
    <t>$R$14</t>
  </si>
  <si>
    <t>$R$15</t>
  </si>
  <si>
    <t>Constraints</t>
  </si>
  <si>
    <t>Cell Value</t>
  </si>
  <si>
    <t>Formula</t>
  </si>
  <si>
    <t>Status</t>
  </si>
  <si>
    <t>Slack</t>
  </si>
  <si>
    <t>$F$16</t>
  </si>
  <si>
    <t>Acre Usage Jan</t>
  </si>
  <si>
    <t>$F$16&lt;=$A$19</t>
  </si>
  <si>
    <t>Not Binding</t>
  </si>
  <si>
    <t>$G$16</t>
  </si>
  <si>
    <t>Acre Usage Feb</t>
  </si>
  <si>
    <t>$G$16&lt;=$A$19</t>
  </si>
  <si>
    <t>$H$16</t>
  </si>
  <si>
    <t>Acre Usage Mar</t>
  </si>
  <si>
    <t>$H$16&lt;=$A$19</t>
  </si>
  <si>
    <t>$I$16</t>
  </si>
  <si>
    <t>Acre Usage Apr</t>
  </si>
  <si>
    <t>$I$16&lt;=$A$19</t>
  </si>
  <si>
    <t>$J$16</t>
  </si>
  <si>
    <t>Acre Usage May</t>
  </si>
  <si>
    <t>$J$16&lt;=$A$19</t>
  </si>
  <si>
    <t>Binding</t>
  </si>
  <si>
    <t>$K$16</t>
  </si>
  <si>
    <t>Acre Usage Jun</t>
  </si>
  <si>
    <t>$K$16&lt;=$A$19</t>
  </si>
  <si>
    <t>$L$16</t>
  </si>
  <si>
    <t>Acre Usage Jul</t>
  </si>
  <si>
    <t>$L$16&lt;=$A$19</t>
  </si>
  <si>
    <t>$M$16</t>
  </si>
  <si>
    <t>Acre Usage Aug</t>
  </si>
  <si>
    <t>$M$16&lt;=$A$19</t>
  </si>
  <si>
    <t>$N$16</t>
  </si>
  <si>
    <t>Acre Usage Sep</t>
  </si>
  <si>
    <t>$N$16&lt;=$A$19</t>
  </si>
  <si>
    <t>$O$16</t>
  </si>
  <si>
    <t>Acre Usage Oct</t>
  </si>
  <si>
    <t>$O$16&lt;=$A$19</t>
  </si>
  <si>
    <t>$P$16</t>
  </si>
  <si>
    <t>Acre Usage Nov</t>
  </si>
  <si>
    <t>$P$16&lt;=$A$19</t>
  </si>
  <si>
    <t>$Q$16</t>
  </si>
  <si>
    <t>Acre Usage Dec</t>
  </si>
  <si>
    <t>$Q$16&lt;=$A$19</t>
  </si>
  <si>
    <t>$R$2&gt;=0</t>
  </si>
  <si>
    <t>$R$3&gt;=0</t>
  </si>
  <si>
    <t>$R$4&gt;=0</t>
  </si>
  <si>
    <t>$R$5&gt;=0</t>
  </si>
  <si>
    <t>$R$6&gt;=0</t>
  </si>
  <si>
    <t>$R$7&gt;=0</t>
  </si>
  <si>
    <t>$R$8&gt;=0</t>
  </si>
  <si>
    <t>$R$9&gt;=0</t>
  </si>
  <si>
    <t>$R$10&gt;=0</t>
  </si>
  <si>
    <t>$R$11&gt;=0</t>
  </si>
  <si>
    <t>$R$12&gt;=0</t>
  </si>
  <si>
    <t>$R$13&gt;=0</t>
  </si>
  <si>
    <t>$R$14&gt;=0</t>
  </si>
  <si>
    <t>$R$15&gt;=0</t>
  </si>
  <si>
    <t>$R$2:$R$15=Integer</t>
  </si>
  <si>
    <t>Irrigation Demand (w)</t>
  </si>
  <si>
    <t>Irrigation Demand</t>
  </si>
  <si>
    <t>Yield Demand</t>
  </si>
  <si>
    <t>Acre Usage</t>
  </si>
  <si>
    <t>Cost</t>
  </si>
  <si>
    <t>Profit</t>
  </si>
  <si>
    <t>* from 2022 USDA Census Data</t>
  </si>
  <si>
    <t>Cost of Irrigation (z) ($ per Acre/ft)</t>
  </si>
  <si>
    <t>* from 2023 USDA Survey Data</t>
  </si>
  <si>
    <t>Iterations: 3 Subproblems: 0</t>
  </si>
  <si>
    <t>$U$18</t>
  </si>
  <si>
    <t>x1 Acres Plant</t>
  </si>
  <si>
    <t>x2 Acres Plant</t>
  </si>
  <si>
    <t>x3 Acres Plant</t>
  </si>
  <si>
    <t>x4 Acres Plant</t>
  </si>
  <si>
    <t>x5 Acres Plant</t>
  </si>
  <si>
    <t>x6 Acres Plant</t>
  </si>
  <si>
    <t>x7 Acres Plant</t>
  </si>
  <si>
    <t>x8 Acres Plant</t>
  </si>
  <si>
    <t>x9 Acres Plant</t>
  </si>
  <si>
    <t>x10 Acres Plant</t>
  </si>
  <si>
    <t>x11 Acres Plant</t>
  </si>
  <si>
    <t>x12 Acres Plant</t>
  </si>
  <si>
    <t>x13 Acres Plant</t>
  </si>
  <si>
    <t>x14 Acres Plant</t>
  </si>
  <si>
    <t>x15</t>
  </si>
  <si>
    <t>x16</t>
  </si>
  <si>
    <t>Cost of Irrigation ($ per Acre/ft)</t>
  </si>
  <si>
    <t>Cost of Irrigation</t>
  </si>
  <si>
    <t>Irr Cost</t>
  </si>
  <si>
    <t>Irrigation</t>
  </si>
  <si>
    <t>Irr. Cost</t>
  </si>
  <si>
    <t>Report Created: 5/22/25 11:13:22 AM</t>
  </si>
  <si>
    <t>Solution Time: 1274.134 Seconds.</t>
  </si>
  <si>
    <t>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</si>
</sst>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FFFF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double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2" fontId="0" fillId="0" borderId="0" xfId="0" applyNumberFormat="1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3" xfId="0" applyBorder="1"/>
    <xf numFmtId="0" fontId="6" fillId="3" borderId="3" xfId="0" applyFont="1" applyFill="1" applyBorder="1" applyAlignment="1">
      <alignment vertical="center" wrapText="1"/>
    </xf>
    <xf numFmtId="0" fontId="0" fillId="0" borderId="5" xfId="0" applyBorder="1"/>
    <xf numFmtId="0" fontId="5" fillId="0" borderId="5" xfId="0" applyFont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0" fontId="5" fillId="7" borderId="5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7" borderId="6" xfId="0" applyFont="1" applyFill="1" applyBorder="1" applyAlignment="1">
      <alignment vertical="center" wrapText="1"/>
    </xf>
    <xf numFmtId="0" fontId="6" fillId="7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0" xfId="0" applyFill="1"/>
    <xf numFmtId="0" fontId="9" fillId="9" borderId="0" xfId="0" applyFont="1" applyFill="1" applyAlignment="1">
      <alignment vertical="center" wrapText="1"/>
    </xf>
    <xf numFmtId="0" fontId="8" fillId="9" borderId="0" xfId="0" applyFont="1" applyFill="1" applyAlignment="1">
      <alignment horizontal="center"/>
    </xf>
    <xf numFmtId="44" fontId="0" fillId="0" borderId="0" xfId="1" applyFont="1"/>
    <xf numFmtId="44" fontId="8" fillId="10" borderId="0" xfId="1" applyFont="1" applyFill="1"/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12" borderId="0" xfId="0" applyFill="1"/>
    <xf numFmtId="0" fontId="0" fillId="0" borderId="0" xfId="0" applyAlignment="1">
      <alignment wrapText="1"/>
    </xf>
    <xf numFmtId="0" fontId="8" fillId="9" borderId="0" xfId="0" applyFont="1" applyFill="1"/>
    <xf numFmtId="164" fontId="3" fillId="0" borderId="0" xfId="0" applyNumberFormat="1" applyFont="1" applyAlignment="1">
      <alignment vertical="center" wrapText="1"/>
    </xf>
    <xf numFmtId="0" fontId="0" fillId="13" borderId="0" xfId="0" applyFill="1"/>
    <xf numFmtId="44" fontId="8" fillId="9" borderId="0" xfId="1" applyFont="1" applyFill="1"/>
    <xf numFmtId="0" fontId="4" fillId="0" borderId="7" xfId="0" applyFont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4" fontId="0" fillId="0" borderId="0" xfId="1" applyFont="1" applyBorder="1"/>
    <xf numFmtId="44" fontId="8" fillId="10" borderId="8" xfId="1" applyFont="1" applyFill="1" applyBorder="1"/>
    <xf numFmtId="44" fontId="8" fillId="14" borderId="1" xfId="1" applyFont="1" applyFill="1" applyBorder="1"/>
    <xf numFmtId="44" fontId="0" fillId="15" borderId="0" xfId="0" applyNumberFormat="1" applyFill="1"/>
    <xf numFmtId="0" fontId="0" fillId="0" borderId="7" xfId="0" applyBorder="1" applyAlignment="1">
      <alignment wrapText="1"/>
    </xf>
    <xf numFmtId="0" fontId="0" fillId="0" borderId="7" xfId="0" applyBorder="1"/>
    <xf numFmtId="44" fontId="1" fillId="0" borderId="0" xfId="1" applyFont="1" applyAlignment="1">
      <alignment textRotation="180"/>
    </xf>
    <xf numFmtId="44" fontId="8" fillId="14" borderId="0" xfId="1" applyFont="1" applyFill="1"/>
    <xf numFmtId="44" fontId="8" fillId="16" borderId="0" xfId="0" applyNumberFormat="1" applyFont="1" applyFill="1"/>
    <xf numFmtId="2" fontId="0" fillId="0" borderId="5" xfId="0" applyNumberFormat="1" applyBorder="1"/>
    <xf numFmtId="0" fontId="10" fillId="0" borderId="0" xfId="0" applyFont="1" applyAlignment="1">
      <alignment wrapText="1"/>
    </xf>
    <xf numFmtId="164" fontId="11" fillId="0" borderId="0" xfId="0" applyNumberFormat="1" applyFont="1" applyAlignment="1">
      <alignment vertical="center" wrapText="1"/>
    </xf>
    <xf numFmtId="0" fontId="12" fillId="0" borderId="0" xfId="0" applyFont="1"/>
    <xf numFmtId="8" fontId="8" fillId="9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44" fontId="0" fillId="0" borderId="0" xfId="0" applyNumberFormat="1"/>
    <xf numFmtId="44" fontId="8" fillId="14" borderId="12" xfId="1" applyFont="1" applyFill="1" applyBorder="1"/>
    <xf numFmtId="0" fontId="0" fillId="0" borderId="10" xfId="0" applyBorder="1"/>
    <xf numFmtId="0" fontId="13" fillId="0" borderId="9" xfId="0" applyFont="1" applyBorder="1" applyAlignment="1">
      <alignment horizontal="center"/>
    </xf>
    <xf numFmtId="0" fontId="0" fillId="0" borderId="11" xfId="0" applyBorder="1"/>
    <xf numFmtId="44" fontId="0" fillId="0" borderId="10" xfId="0" applyNumberFormat="1" applyBorder="1"/>
    <xf numFmtId="44" fontId="0" fillId="13" borderId="0" xfId="0" applyNumberFormat="1" applyFill="1"/>
    <xf numFmtId="0" fontId="8" fillId="17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80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6BA8-4EA2-A143-80AF-D7DDEA46E8FC}">
  <dimension ref="A1:Z38"/>
  <sheetViews>
    <sheetView topLeftCell="K1" zoomScale="90" zoomScaleNormal="70" workbookViewId="0">
      <selection activeCell="U26" sqref="U26"/>
    </sheetView>
  </sheetViews>
  <sheetFormatPr baseColWidth="10" defaultColWidth="11" defaultRowHeight="18" customHeight="1" x14ac:dyDescent="0.2"/>
  <cols>
    <col min="1" max="1" width="15.1640625" bestFit="1" customWidth="1"/>
    <col min="2" max="2" width="7.83203125" bestFit="1" customWidth="1"/>
    <col min="3" max="14" width="4.5" customWidth="1"/>
    <col min="16" max="16" width="15.1640625" bestFit="1" customWidth="1"/>
    <col min="17" max="17" width="7.83203125" bestFit="1" customWidth="1"/>
    <col min="18" max="18" width="7.6640625" bestFit="1" customWidth="1"/>
    <col min="19" max="19" width="8.1640625" bestFit="1" customWidth="1"/>
    <col min="20" max="23" width="13.33203125" customWidth="1"/>
    <col min="24" max="24" width="10.5" customWidth="1"/>
    <col min="26" max="26" width="15.1640625" bestFit="1" customWidth="1"/>
  </cols>
  <sheetData>
    <row r="1" spans="1:26" ht="18" customHeight="1" x14ac:dyDescent="0.2">
      <c r="C1" s="24"/>
      <c r="D1" s="24" t="s">
        <v>0</v>
      </c>
      <c r="E1" s="24"/>
      <c r="G1" t="s">
        <v>1</v>
      </c>
      <c r="I1" s="24"/>
      <c r="J1" s="24" t="s">
        <v>2</v>
      </c>
      <c r="K1" s="24"/>
      <c r="M1" t="s">
        <v>3</v>
      </c>
    </row>
    <row r="2" spans="1:26" ht="18" customHeight="1" x14ac:dyDescent="0.2">
      <c r="A2" s="2" t="s">
        <v>4</v>
      </c>
      <c r="B2" s="2" t="s">
        <v>5</v>
      </c>
      <c r="C2" s="2" t="s">
        <v>6</v>
      </c>
      <c r="D2" s="2" t="s">
        <v>7</v>
      </c>
      <c r="E2" s="16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P2" s="2" t="s">
        <v>18</v>
      </c>
      <c r="Q2" s="2" t="s">
        <v>5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</row>
    <row r="3" spans="1:26" ht="18" customHeight="1" x14ac:dyDescent="0.2">
      <c r="A3" s="7" t="s">
        <v>28</v>
      </c>
      <c r="B3" s="33" t="s">
        <v>29</v>
      </c>
      <c r="C3" s="5"/>
      <c r="D3" s="5"/>
      <c r="E3" s="17"/>
      <c r="F3" s="8"/>
      <c r="G3" s="8"/>
      <c r="H3" s="17"/>
      <c r="I3" s="8"/>
      <c r="J3" s="8"/>
      <c r="K3" s="6"/>
      <c r="L3" s="5"/>
      <c r="M3" s="5"/>
      <c r="N3" s="5"/>
      <c r="P3" s="3" t="s">
        <v>28</v>
      </c>
      <c r="Q3" s="32" t="s">
        <v>29</v>
      </c>
      <c r="R3" s="3">
        <v>22.6</v>
      </c>
      <c r="S3" s="3">
        <v>9.27</v>
      </c>
      <c r="T3">
        <v>0</v>
      </c>
      <c r="U3" s="25">
        <f>X3</f>
        <v>0</v>
      </c>
      <c r="V3" s="25">
        <f t="shared" ref="V3:V8" si="0">X3</f>
        <v>0</v>
      </c>
      <c r="W3">
        <v>0</v>
      </c>
      <c r="X3" s="24">
        <v>0</v>
      </c>
      <c r="Y3">
        <f t="shared" ref="Y3:Y16" si="1">X3*R3</f>
        <v>0</v>
      </c>
      <c r="Z3" s="38">
        <f t="shared" ref="Z3:Z16" si="2">Y3*S3</f>
        <v>0</v>
      </c>
    </row>
    <row r="4" spans="1:26" ht="18" customHeight="1" x14ac:dyDescent="0.2">
      <c r="A4" s="9" t="s">
        <v>30</v>
      </c>
      <c r="B4" s="33" t="s">
        <v>31</v>
      </c>
      <c r="C4" s="10"/>
      <c r="D4" s="10"/>
      <c r="E4" s="18"/>
      <c r="F4" s="11"/>
      <c r="G4" s="11"/>
      <c r="H4" s="21"/>
      <c r="I4" s="11"/>
      <c r="J4" s="11"/>
      <c r="K4" s="21"/>
      <c r="L4" s="11"/>
      <c r="M4" s="11"/>
      <c r="N4" s="10"/>
      <c r="P4" s="3" t="s">
        <v>32</v>
      </c>
      <c r="Q4" s="32" t="s">
        <v>31</v>
      </c>
      <c r="R4" s="3">
        <v>116.5</v>
      </c>
      <c r="S4" s="3">
        <v>9.91</v>
      </c>
      <c r="T4">
        <v>0</v>
      </c>
      <c r="U4" s="25">
        <f t="shared" ref="U4:U14" si="3">X4</f>
        <v>0</v>
      </c>
      <c r="V4" s="25">
        <f t="shared" si="0"/>
        <v>0</v>
      </c>
      <c r="W4">
        <v>0</v>
      </c>
      <c r="X4" s="24">
        <v>0</v>
      </c>
      <c r="Y4">
        <f t="shared" si="1"/>
        <v>0</v>
      </c>
      <c r="Z4" s="38">
        <f t="shared" si="2"/>
        <v>0</v>
      </c>
    </row>
    <row r="5" spans="1:26" ht="18" customHeight="1" x14ac:dyDescent="0.2">
      <c r="A5" s="9" t="s">
        <v>33</v>
      </c>
      <c r="B5" s="33" t="s">
        <v>34</v>
      </c>
      <c r="C5" s="10"/>
      <c r="D5" s="10"/>
      <c r="E5" s="18"/>
      <c r="F5" s="11"/>
      <c r="G5" s="11"/>
      <c r="H5" s="21"/>
      <c r="I5" s="11"/>
      <c r="J5" s="11"/>
      <c r="K5" s="21"/>
      <c r="L5" s="10"/>
      <c r="M5" s="10"/>
      <c r="N5" s="10"/>
      <c r="P5" s="3" t="s">
        <v>35</v>
      </c>
      <c r="Q5" s="32" t="s">
        <v>34</v>
      </c>
      <c r="R5" s="3">
        <v>78.599999999999994</v>
      </c>
      <c r="S5" s="3">
        <v>12.15</v>
      </c>
      <c r="T5">
        <v>0</v>
      </c>
      <c r="U5" s="25">
        <f t="shared" si="3"/>
        <v>0</v>
      </c>
      <c r="V5" s="25">
        <f t="shared" si="0"/>
        <v>0</v>
      </c>
      <c r="W5">
        <v>0</v>
      </c>
      <c r="X5" s="24">
        <v>0</v>
      </c>
      <c r="Y5">
        <f t="shared" si="1"/>
        <v>0</v>
      </c>
      <c r="Z5" s="38">
        <f t="shared" si="2"/>
        <v>0</v>
      </c>
    </row>
    <row r="6" spans="1:26" ht="18" customHeight="1" x14ac:dyDescent="0.2">
      <c r="A6" s="9" t="s">
        <v>36</v>
      </c>
      <c r="B6" s="33" t="s">
        <v>37</v>
      </c>
      <c r="C6" s="10"/>
      <c r="D6" s="10"/>
      <c r="E6" s="18"/>
      <c r="F6" s="11"/>
      <c r="G6" s="11"/>
      <c r="H6" s="21"/>
      <c r="I6" s="11"/>
      <c r="J6" s="11"/>
      <c r="K6" s="21"/>
      <c r="L6" s="11"/>
      <c r="M6" s="10"/>
      <c r="N6" s="10"/>
      <c r="P6" s="3" t="s">
        <v>38</v>
      </c>
      <c r="Q6" s="32" t="s">
        <v>37</v>
      </c>
      <c r="R6" s="3">
        <v>39.29</v>
      </c>
      <c r="S6" s="3">
        <v>12.2</v>
      </c>
      <c r="T6">
        <v>0</v>
      </c>
      <c r="U6" s="25">
        <f t="shared" si="3"/>
        <v>0</v>
      </c>
      <c r="V6" s="25">
        <f t="shared" si="0"/>
        <v>0</v>
      </c>
      <c r="W6">
        <v>0</v>
      </c>
      <c r="X6" s="24">
        <v>0</v>
      </c>
      <c r="Y6">
        <f t="shared" si="1"/>
        <v>0</v>
      </c>
      <c r="Z6" s="38">
        <f t="shared" si="2"/>
        <v>0</v>
      </c>
    </row>
    <row r="7" spans="1:26" ht="18" customHeight="1" x14ac:dyDescent="0.2">
      <c r="A7" s="9" t="s">
        <v>39</v>
      </c>
      <c r="B7" s="33" t="s">
        <v>40</v>
      </c>
      <c r="C7" s="10"/>
      <c r="D7" s="10"/>
      <c r="E7" s="18"/>
      <c r="F7" s="11"/>
      <c r="G7" s="11"/>
      <c r="H7" s="21"/>
      <c r="I7" s="11"/>
      <c r="J7" s="11"/>
      <c r="K7" s="21"/>
      <c r="L7" s="11"/>
      <c r="M7" s="10"/>
      <c r="N7" s="10"/>
      <c r="P7" s="3" t="s">
        <v>41</v>
      </c>
      <c r="Q7" s="32" t="s">
        <v>40</v>
      </c>
      <c r="R7" s="3">
        <v>625</v>
      </c>
      <c r="S7" s="3">
        <v>10.3</v>
      </c>
      <c r="T7">
        <v>0</v>
      </c>
      <c r="U7" s="25">
        <f t="shared" si="3"/>
        <v>0</v>
      </c>
      <c r="V7" s="25">
        <f t="shared" si="0"/>
        <v>0</v>
      </c>
      <c r="W7">
        <v>0</v>
      </c>
      <c r="X7" s="24">
        <v>0</v>
      </c>
      <c r="Y7">
        <f t="shared" si="1"/>
        <v>0</v>
      </c>
      <c r="Z7" s="38">
        <f t="shared" si="2"/>
        <v>0</v>
      </c>
    </row>
    <row r="8" spans="1:26" ht="18" customHeight="1" x14ac:dyDescent="0.2">
      <c r="A8" s="9" t="s">
        <v>42</v>
      </c>
      <c r="B8" s="33" t="s">
        <v>43</v>
      </c>
      <c r="C8" s="10"/>
      <c r="D8" s="10"/>
      <c r="E8" s="18"/>
      <c r="F8" s="11"/>
      <c r="G8" s="11"/>
      <c r="H8" s="21"/>
      <c r="I8" s="11"/>
      <c r="J8" s="10"/>
      <c r="K8" s="18"/>
      <c r="L8" s="10"/>
      <c r="M8" s="10"/>
      <c r="N8" s="10"/>
      <c r="P8" s="3" t="s">
        <v>42</v>
      </c>
      <c r="Q8" s="32" t="s">
        <v>43</v>
      </c>
      <c r="R8" s="3">
        <v>42</v>
      </c>
      <c r="S8" s="3">
        <v>9.08</v>
      </c>
      <c r="T8">
        <v>0</v>
      </c>
      <c r="U8" s="25">
        <f t="shared" si="3"/>
        <v>0</v>
      </c>
      <c r="V8" s="25">
        <f t="shared" si="0"/>
        <v>0</v>
      </c>
      <c r="W8">
        <v>0</v>
      </c>
      <c r="X8" s="24">
        <v>0</v>
      </c>
      <c r="Y8">
        <f t="shared" si="1"/>
        <v>0</v>
      </c>
      <c r="Z8" s="38">
        <f t="shared" si="2"/>
        <v>0</v>
      </c>
    </row>
    <row r="9" spans="1:26" ht="18" customHeight="1" x14ac:dyDescent="0.2">
      <c r="A9" s="9" t="s">
        <v>44</v>
      </c>
      <c r="B9" s="33" t="s">
        <v>45</v>
      </c>
      <c r="C9" s="13"/>
      <c r="D9" s="13"/>
      <c r="E9" s="19"/>
      <c r="F9" s="13"/>
      <c r="G9" s="13"/>
      <c r="H9" s="19"/>
      <c r="I9" s="13"/>
      <c r="J9" s="10"/>
      <c r="K9" s="18"/>
      <c r="L9" s="11"/>
      <c r="M9" s="11"/>
      <c r="N9" s="11"/>
      <c r="P9" s="3" t="s">
        <v>44</v>
      </c>
      <c r="Q9" s="32" t="s">
        <v>45</v>
      </c>
      <c r="R9" s="3">
        <v>42</v>
      </c>
      <c r="S9" s="3">
        <v>9.08</v>
      </c>
      <c r="T9" s="25">
        <f>X9</f>
        <v>0</v>
      </c>
      <c r="U9" s="25">
        <f t="shared" si="3"/>
        <v>0</v>
      </c>
      <c r="V9">
        <v>0</v>
      </c>
      <c r="W9" s="25">
        <f>X9</f>
        <v>0</v>
      </c>
      <c r="X9" s="24">
        <v>0</v>
      </c>
      <c r="Y9">
        <f t="shared" si="1"/>
        <v>0</v>
      </c>
      <c r="Z9" s="38">
        <f t="shared" si="2"/>
        <v>0</v>
      </c>
    </row>
    <row r="10" spans="1:26" ht="18" customHeight="1" x14ac:dyDescent="0.2">
      <c r="A10" s="9" t="s">
        <v>46</v>
      </c>
      <c r="B10" s="33" t="s">
        <v>47</v>
      </c>
      <c r="C10" s="10"/>
      <c r="D10" s="10"/>
      <c r="E10" s="18"/>
      <c r="F10" s="10"/>
      <c r="G10" s="14"/>
      <c r="H10" s="20"/>
      <c r="I10" s="14"/>
      <c r="J10" s="14"/>
      <c r="K10" s="20"/>
      <c r="L10" s="10"/>
      <c r="M10" s="10"/>
      <c r="N10" s="10"/>
      <c r="P10" s="3" t="s">
        <v>48</v>
      </c>
      <c r="Q10" s="32" t="s">
        <v>47</v>
      </c>
      <c r="R10" s="3">
        <v>120</v>
      </c>
      <c r="S10" s="3">
        <v>15.8</v>
      </c>
      <c r="T10">
        <v>0</v>
      </c>
      <c r="U10" s="25">
        <f t="shared" si="3"/>
        <v>0</v>
      </c>
      <c r="V10" s="25">
        <f>X10</f>
        <v>0</v>
      </c>
      <c r="W10">
        <v>0</v>
      </c>
      <c r="X10" s="24">
        <v>0</v>
      </c>
      <c r="Y10">
        <f t="shared" si="1"/>
        <v>0</v>
      </c>
      <c r="Z10" s="38">
        <f t="shared" si="2"/>
        <v>0</v>
      </c>
    </row>
    <row r="11" spans="1:26" ht="18" customHeight="1" x14ac:dyDescent="0.2">
      <c r="A11" s="9" t="s">
        <v>49</v>
      </c>
      <c r="B11" s="33" t="s">
        <v>50</v>
      </c>
      <c r="C11" s="10"/>
      <c r="D11" s="10"/>
      <c r="E11" s="18"/>
      <c r="F11" s="14"/>
      <c r="G11" s="14"/>
      <c r="H11" s="20"/>
      <c r="I11" s="14"/>
      <c r="J11" s="14"/>
      <c r="K11" s="20"/>
      <c r="L11" s="10"/>
      <c r="M11" s="10"/>
      <c r="N11" s="10"/>
      <c r="P11" s="3" t="s">
        <v>51</v>
      </c>
      <c r="Q11" s="32" t="s">
        <v>50</v>
      </c>
      <c r="R11" s="3">
        <v>200</v>
      </c>
      <c r="S11" s="3">
        <v>11.4</v>
      </c>
      <c r="T11">
        <v>0</v>
      </c>
      <c r="U11" s="25">
        <f t="shared" si="3"/>
        <v>0</v>
      </c>
      <c r="V11" s="25">
        <f>X11</f>
        <v>0</v>
      </c>
      <c r="W11">
        <v>0</v>
      </c>
      <c r="X11" s="24">
        <v>0</v>
      </c>
      <c r="Y11">
        <f t="shared" si="1"/>
        <v>0</v>
      </c>
      <c r="Z11" s="38">
        <f t="shared" si="2"/>
        <v>0</v>
      </c>
    </row>
    <row r="12" spans="1:26" ht="18" customHeight="1" x14ac:dyDescent="0.2">
      <c r="A12" s="9" t="s">
        <v>52</v>
      </c>
      <c r="B12" s="33" t="s">
        <v>53</v>
      </c>
      <c r="C12" s="10"/>
      <c r="D12" s="10"/>
      <c r="E12" s="20"/>
      <c r="F12" s="14"/>
      <c r="G12" s="14"/>
      <c r="H12" s="20"/>
      <c r="I12" s="14"/>
      <c r="J12" s="14"/>
      <c r="K12" s="18"/>
      <c r="L12" s="10"/>
      <c r="M12" s="10"/>
      <c r="N12" s="10"/>
      <c r="P12" s="3" t="s">
        <v>54</v>
      </c>
      <c r="Q12" s="32" t="s">
        <v>53</v>
      </c>
      <c r="R12" s="3">
        <v>641</v>
      </c>
      <c r="S12" s="3">
        <v>18.3</v>
      </c>
      <c r="T12">
        <v>0</v>
      </c>
      <c r="U12" s="25">
        <f t="shared" si="3"/>
        <v>430</v>
      </c>
      <c r="V12" s="25">
        <f>X12</f>
        <v>430</v>
      </c>
      <c r="W12">
        <v>0</v>
      </c>
      <c r="X12" s="24">
        <v>430</v>
      </c>
      <c r="Y12">
        <f t="shared" si="1"/>
        <v>275630</v>
      </c>
      <c r="Z12" s="38">
        <f t="shared" si="2"/>
        <v>5044029</v>
      </c>
    </row>
    <row r="13" spans="1:26" ht="18" customHeight="1" x14ac:dyDescent="0.2">
      <c r="A13" s="7" t="s">
        <v>55</v>
      </c>
      <c r="B13" s="33" t="s">
        <v>56</v>
      </c>
      <c r="C13" s="5"/>
      <c r="D13" s="5"/>
      <c r="E13" s="6"/>
      <c r="F13" s="5"/>
      <c r="G13" s="12"/>
      <c r="H13" s="22"/>
      <c r="I13" s="12"/>
      <c r="J13" s="12"/>
      <c r="K13" s="22"/>
      <c r="L13" s="5"/>
      <c r="M13" s="5"/>
      <c r="N13" s="5"/>
      <c r="P13" s="3" t="s">
        <v>55</v>
      </c>
      <c r="Q13" s="32" t="s">
        <v>56</v>
      </c>
      <c r="R13" s="3">
        <v>175</v>
      </c>
      <c r="S13" s="3">
        <v>16.100000000000001</v>
      </c>
      <c r="T13">
        <v>0</v>
      </c>
      <c r="U13" s="25">
        <f t="shared" si="3"/>
        <v>0</v>
      </c>
      <c r="V13" s="25">
        <f>X13</f>
        <v>0</v>
      </c>
      <c r="W13">
        <v>0</v>
      </c>
      <c r="X13" s="24">
        <v>0</v>
      </c>
      <c r="Y13">
        <f t="shared" si="1"/>
        <v>0</v>
      </c>
      <c r="Z13" s="38">
        <f t="shared" si="2"/>
        <v>0</v>
      </c>
    </row>
    <row r="14" spans="1:26" ht="18" customHeight="1" x14ac:dyDescent="0.2">
      <c r="A14" s="7" t="s">
        <v>57</v>
      </c>
      <c r="B14" s="33" t="s">
        <v>58</v>
      </c>
      <c r="C14" s="5"/>
      <c r="D14" s="5"/>
      <c r="E14" s="6"/>
      <c r="F14" s="12"/>
      <c r="G14" s="12"/>
      <c r="H14" s="22"/>
      <c r="I14" s="5"/>
      <c r="J14" s="15"/>
      <c r="K14" s="23"/>
      <c r="L14" s="15"/>
      <c r="M14" s="5"/>
      <c r="N14" s="5"/>
      <c r="P14" s="3" t="s">
        <v>59</v>
      </c>
      <c r="Q14" s="32" t="s">
        <v>58</v>
      </c>
      <c r="R14" s="3">
        <v>31</v>
      </c>
      <c r="S14" s="3">
        <v>15.4</v>
      </c>
      <c r="T14">
        <v>0</v>
      </c>
      <c r="U14" s="25">
        <f t="shared" si="3"/>
        <v>0</v>
      </c>
      <c r="V14">
        <v>0</v>
      </c>
      <c r="W14">
        <v>0</v>
      </c>
      <c r="X14" s="24">
        <v>0</v>
      </c>
      <c r="Y14">
        <f t="shared" si="1"/>
        <v>0</v>
      </c>
      <c r="Z14" s="38">
        <f t="shared" si="2"/>
        <v>0</v>
      </c>
    </row>
    <row r="15" spans="1:26" ht="18" customHeight="1" x14ac:dyDescent="0.2">
      <c r="A15" s="7" t="s">
        <v>60</v>
      </c>
      <c r="B15" s="33" t="s">
        <v>61</v>
      </c>
      <c r="C15" s="5"/>
      <c r="D15" s="5"/>
      <c r="E15" s="6"/>
      <c r="F15" s="15"/>
      <c r="G15" s="15"/>
      <c r="H15" s="23"/>
      <c r="I15" s="5"/>
      <c r="J15" s="12"/>
      <c r="K15" s="22"/>
      <c r="L15" s="12"/>
      <c r="M15" s="5"/>
      <c r="N15" s="5"/>
      <c r="P15" s="3" t="s">
        <v>62</v>
      </c>
      <c r="Q15" s="32" t="s">
        <v>61</v>
      </c>
      <c r="R15" s="3">
        <v>31</v>
      </c>
      <c r="S15" s="3">
        <v>15.4</v>
      </c>
      <c r="T15">
        <v>0</v>
      </c>
      <c r="U15">
        <v>0</v>
      </c>
      <c r="V15" s="25">
        <f>X15</f>
        <v>0</v>
      </c>
      <c r="W15">
        <v>0</v>
      </c>
      <c r="X15" s="24">
        <v>0</v>
      </c>
      <c r="Y15">
        <f t="shared" si="1"/>
        <v>0</v>
      </c>
      <c r="Z15" s="38">
        <f t="shared" si="2"/>
        <v>0</v>
      </c>
    </row>
    <row r="16" spans="1:26" ht="18" customHeight="1" x14ac:dyDescent="0.2">
      <c r="A16" s="9" t="s">
        <v>63</v>
      </c>
      <c r="B16" s="34" t="s">
        <v>64</v>
      </c>
      <c r="C16" s="10"/>
      <c r="D16" s="10"/>
      <c r="E16" s="29"/>
      <c r="F16" s="27"/>
      <c r="G16" s="27"/>
      <c r="H16" s="30"/>
      <c r="I16" s="26"/>
      <c r="J16" s="27"/>
      <c r="K16" s="31"/>
      <c r="L16" s="28"/>
      <c r="M16" s="10"/>
      <c r="N16" s="10"/>
      <c r="P16" s="3" t="s">
        <v>63</v>
      </c>
      <c r="Q16" s="32" t="s">
        <v>64</v>
      </c>
      <c r="R16" s="3">
        <v>15.46</v>
      </c>
      <c r="S16" s="3">
        <v>5.178E-2</v>
      </c>
      <c r="T16">
        <v>0</v>
      </c>
      <c r="U16" s="25">
        <f>X16</f>
        <v>0</v>
      </c>
      <c r="V16" s="25">
        <f>X16</f>
        <v>0</v>
      </c>
      <c r="W16">
        <v>0</v>
      </c>
      <c r="X16" s="24">
        <v>0</v>
      </c>
      <c r="Y16">
        <f t="shared" si="1"/>
        <v>0</v>
      </c>
      <c r="Z16" s="38">
        <f t="shared" si="2"/>
        <v>0</v>
      </c>
    </row>
    <row r="17" spans="16:26" ht="18" customHeight="1" x14ac:dyDescent="0.2">
      <c r="T17" s="35">
        <f>SUM(T3:T16)</f>
        <v>0</v>
      </c>
      <c r="U17" s="35">
        <f>SUM(U3:U16)</f>
        <v>430</v>
      </c>
      <c r="V17" s="35">
        <f>SUM(V3:V16)</f>
        <v>430</v>
      </c>
      <c r="W17" s="35">
        <f>SUM(W3:W16)</f>
        <v>0</v>
      </c>
      <c r="Z17" s="39">
        <f>SUM(Z3:Z16)</f>
        <v>5044029</v>
      </c>
    </row>
    <row r="18" spans="16:26" ht="18" customHeight="1" x14ac:dyDescent="0.2">
      <c r="P18" s="36" t="s">
        <v>65</v>
      </c>
      <c r="Q18" s="37">
        <v>430</v>
      </c>
    </row>
    <row r="35" spans="1:10" ht="18" customHeight="1" x14ac:dyDescent="0.2">
      <c r="A35" s="4"/>
      <c r="B35" s="3"/>
    </row>
    <row r="37" spans="1:10" ht="18" customHeight="1" x14ac:dyDescent="0.2">
      <c r="J37" t="s">
        <v>66</v>
      </c>
    </row>
    <row r="38" spans="1:10" ht="18" customHeight="1" x14ac:dyDescent="0.2">
      <c r="J38" t="s">
        <v>67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5306-9F08-CD4A-AF0B-705A5824555F}">
  <dimension ref="A2:S18"/>
  <sheetViews>
    <sheetView zoomScale="81" zoomScaleNormal="70" workbookViewId="0">
      <selection activeCell="U26" sqref="U26"/>
    </sheetView>
  </sheetViews>
  <sheetFormatPr baseColWidth="10" defaultColWidth="11" defaultRowHeight="18" customHeight="1" x14ac:dyDescent="0.2"/>
  <cols>
    <col min="1" max="1" width="15.1640625" bestFit="1" customWidth="1"/>
    <col min="2" max="2" width="7.83203125" bestFit="1" customWidth="1"/>
    <col min="3" max="3" width="7.6640625" bestFit="1" customWidth="1"/>
    <col min="4" max="4" width="8.33203125" bestFit="1" customWidth="1"/>
    <col min="5" max="5" width="4" bestFit="1" customWidth="1"/>
    <col min="6" max="7" width="4.5" bestFit="1" customWidth="1"/>
    <col min="8" max="8" width="4" bestFit="1" customWidth="1"/>
    <col min="9" max="9" width="4.6640625" bestFit="1" customWidth="1"/>
    <col min="10" max="10" width="4" bestFit="1" customWidth="1"/>
    <col min="11" max="11" width="3.5" bestFit="1" customWidth="1"/>
    <col min="12" max="12" width="4.33203125" bestFit="1" customWidth="1"/>
    <col min="13" max="15" width="4.5" bestFit="1" customWidth="1"/>
    <col min="16" max="16" width="4.6640625" bestFit="1" customWidth="1"/>
    <col min="17" max="18" width="11" bestFit="1" customWidth="1"/>
    <col min="19" max="19" width="14" bestFit="1" customWidth="1"/>
  </cols>
  <sheetData>
    <row r="2" spans="1:19" ht="18" customHeight="1" x14ac:dyDescent="0.2">
      <c r="A2" s="2" t="s">
        <v>18</v>
      </c>
      <c r="B2" s="2" t="s">
        <v>5</v>
      </c>
      <c r="C2" s="2" t="s">
        <v>19</v>
      </c>
      <c r="D2" s="2" t="s">
        <v>20</v>
      </c>
      <c r="E2" s="2" t="s">
        <v>6</v>
      </c>
      <c r="F2" s="2" t="s">
        <v>7</v>
      </c>
      <c r="G2" s="16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25</v>
      </c>
      <c r="R2" s="2" t="s">
        <v>26</v>
      </c>
      <c r="S2" s="2" t="s">
        <v>27</v>
      </c>
    </row>
    <row r="3" spans="1:19" ht="18" customHeight="1" x14ac:dyDescent="0.2">
      <c r="A3" s="3" t="s">
        <v>28</v>
      </c>
      <c r="B3" s="32" t="s">
        <v>29</v>
      </c>
      <c r="C3" s="3">
        <v>22.6</v>
      </c>
      <c r="D3" s="3">
        <v>9.27</v>
      </c>
      <c r="E3" s="41">
        <v>0</v>
      </c>
      <c r="F3" s="41">
        <v>0</v>
      </c>
      <c r="G3" s="40">
        <f>$Q3</f>
        <v>0</v>
      </c>
      <c r="H3" s="40">
        <f t="shared" ref="H3:P16" si="0">$Q3</f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41">
        <v>0</v>
      </c>
      <c r="N3" s="41">
        <v>0</v>
      </c>
      <c r="O3" s="41">
        <v>0</v>
      </c>
      <c r="P3" s="41">
        <v>0</v>
      </c>
      <c r="Q3" s="42">
        <v>0</v>
      </c>
      <c r="R3">
        <f>Q3*C3</f>
        <v>0</v>
      </c>
      <c r="S3" s="38">
        <f>R3*D3</f>
        <v>0</v>
      </c>
    </row>
    <row r="4" spans="1:19" ht="18" customHeight="1" x14ac:dyDescent="0.2">
      <c r="A4" s="3" t="s">
        <v>32</v>
      </c>
      <c r="B4" s="32" t="s">
        <v>31</v>
      </c>
      <c r="C4" s="3">
        <v>116.5</v>
      </c>
      <c r="D4" s="3">
        <v>9.91</v>
      </c>
      <c r="E4" s="41">
        <v>0</v>
      </c>
      <c r="F4" s="41">
        <v>0</v>
      </c>
      <c r="G4" s="41">
        <v>0</v>
      </c>
      <c r="H4" s="43">
        <f>$Q4</f>
        <v>0</v>
      </c>
      <c r="I4" s="43">
        <f t="shared" si="0"/>
        <v>0</v>
      </c>
      <c r="J4" s="43">
        <f t="shared" si="0"/>
        <v>0</v>
      </c>
      <c r="K4" s="43">
        <f t="shared" si="0"/>
        <v>0</v>
      </c>
      <c r="L4" s="43">
        <f t="shared" si="0"/>
        <v>0</v>
      </c>
      <c r="M4" s="43">
        <f t="shared" si="0"/>
        <v>0</v>
      </c>
      <c r="N4" s="43">
        <f t="shared" si="0"/>
        <v>0</v>
      </c>
      <c r="O4" s="43">
        <f t="shared" si="0"/>
        <v>0</v>
      </c>
      <c r="P4" s="41">
        <v>0</v>
      </c>
      <c r="Q4" s="42">
        <v>0</v>
      </c>
      <c r="R4">
        <f t="shared" ref="R4:R16" si="1">Q4*C4</f>
        <v>0</v>
      </c>
      <c r="S4" s="38">
        <f t="shared" ref="S4:S16" si="2">R4*D4</f>
        <v>0</v>
      </c>
    </row>
    <row r="5" spans="1:19" ht="18" customHeight="1" x14ac:dyDescent="0.2">
      <c r="A5" s="3" t="s">
        <v>35</v>
      </c>
      <c r="B5" s="32" t="s">
        <v>34</v>
      </c>
      <c r="C5" s="3">
        <v>78.599999999999994</v>
      </c>
      <c r="D5" s="3">
        <v>12.15</v>
      </c>
      <c r="E5" s="41">
        <v>0</v>
      </c>
      <c r="F5" s="41">
        <v>0</v>
      </c>
      <c r="G5" s="41">
        <v>0</v>
      </c>
      <c r="H5" s="44">
        <f>$Q5</f>
        <v>0</v>
      </c>
      <c r="I5" s="44">
        <f t="shared" si="0"/>
        <v>0</v>
      </c>
      <c r="J5" s="44">
        <f t="shared" si="0"/>
        <v>0</v>
      </c>
      <c r="K5" s="44">
        <f t="shared" si="0"/>
        <v>0</v>
      </c>
      <c r="L5" s="44">
        <f t="shared" si="0"/>
        <v>0</v>
      </c>
      <c r="M5" s="44">
        <f t="shared" si="0"/>
        <v>0</v>
      </c>
      <c r="N5" s="41">
        <v>0</v>
      </c>
      <c r="O5" s="41">
        <v>0</v>
      </c>
      <c r="P5" s="41">
        <v>0</v>
      </c>
      <c r="Q5" s="42">
        <v>0</v>
      </c>
      <c r="R5">
        <f t="shared" si="1"/>
        <v>0</v>
      </c>
      <c r="S5" s="38">
        <f t="shared" si="2"/>
        <v>0</v>
      </c>
    </row>
    <row r="6" spans="1:19" ht="18" customHeight="1" x14ac:dyDescent="0.2">
      <c r="A6" s="3" t="s">
        <v>38</v>
      </c>
      <c r="B6" s="32" t="s">
        <v>37</v>
      </c>
      <c r="C6" s="3">
        <v>39.29</v>
      </c>
      <c r="D6" s="3">
        <v>12.2</v>
      </c>
      <c r="E6" s="41">
        <v>0</v>
      </c>
      <c r="F6" s="41">
        <v>0</v>
      </c>
      <c r="G6" s="41">
        <v>0</v>
      </c>
      <c r="H6" s="43">
        <f>$Q6</f>
        <v>0</v>
      </c>
      <c r="I6" s="43">
        <f t="shared" si="0"/>
        <v>0</v>
      </c>
      <c r="J6" s="43">
        <f t="shared" si="0"/>
        <v>0</v>
      </c>
      <c r="K6" s="43">
        <f t="shared" si="0"/>
        <v>0</v>
      </c>
      <c r="L6" s="43">
        <f t="shared" si="0"/>
        <v>0</v>
      </c>
      <c r="M6" s="43">
        <f t="shared" si="0"/>
        <v>0</v>
      </c>
      <c r="N6" s="43">
        <f t="shared" si="0"/>
        <v>0</v>
      </c>
      <c r="O6" s="41">
        <v>0</v>
      </c>
      <c r="P6" s="41">
        <v>0</v>
      </c>
      <c r="Q6" s="42">
        <v>0</v>
      </c>
      <c r="R6">
        <f t="shared" si="1"/>
        <v>0</v>
      </c>
      <c r="S6" s="38">
        <f t="shared" si="2"/>
        <v>0</v>
      </c>
    </row>
    <row r="7" spans="1:19" ht="18" customHeight="1" x14ac:dyDescent="0.2">
      <c r="A7" s="3" t="s">
        <v>41</v>
      </c>
      <c r="B7" s="32" t="s">
        <v>40</v>
      </c>
      <c r="C7" s="3">
        <v>625</v>
      </c>
      <c r="D7" s="3">
        <v>10.3</v>
      </c>
      <c r="E7" s="41">
        <v>0</v>
      </c>
      <c r="F7" s="41">
        <v>0</v>
      </c>
      <c r="G7" s="41">
        <v>0</v>
      </c>
      <c r="H7" s="44">
        <f>$Q7</f>
        <v>0</v>
      </c>
      <c r="I7" s="44">
        <f t="shared" si="0"/>
        <v>0</v>
      </c>
      <c r="J7" s="44">
        <f t="shared" si="0"/>
        <v>0</v>
      </c>
      <c r="K7" s="44">
        <f t="shared" si="0"/>
        <v>0</v>
      </c>
      <c r="L7" s="44">
        <f t="shared" si="0"/>
        <v>0</v>
      </c>
      <c r="M7" s="44">
        <f t="shared" si="0"/>
        <v>0</v>
      </c>
      <c r="N7" s="44">
        <f t="shared" si="0"/>
        <v>0</v>
      </c>
      <c r="O7" s="41">
        <v>0</v>
      </c>
      <c r="P7" s="41">
        <v>0</v>
      </c>
      <c r="Q7" s="42">
        <v>0</v>
      </c>
      <c r="R7">
        <f t="shared" si="1"/>
        <v>0</v>
      </c>
      <c r="S7" s="38">
        <f t="shared" si="2"/>
        <v>0</v>
      </c>
    </row>
    <row r="8" spans="1:19" ht="18" customHeight="1" x14ac:dyDescent="0.2">
      <c r="A8" s="3" t="s">
        <v>42</v>
      </c>
      <c r="B8" s="32" t="s">
        <v>43</v>
      </c>
      <c r="C8" s="3">
        <v>42</v>
      </c>
      <c r="D8" s="3">
        <v>9.08</v>
      </c>
      <c r="E8" s="41">
        <v>0</v>
      </c>
      <c r="F8" s="41">
        <v>0</v>
      </c>
      <c r="G8" s="41">
        <v>0</v>
      </c>
      <c r="H8" s="43">
        <f t="shared" ref="H8:H9" si="3">$Q8</f>
        <v>0</v>
      </c>
      <c r="I8" s="43">
        <f t="shared" si="0"/>
        <v>0</v>
      </c>
      <c r="J8" s="43">
        <f t="shared" si="0"/>
        <v>0</v>
      </c>
      <c r="K8" s="43">
        <f t="shared" si="0"/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2">
        <v>0</v>
      </c>
      <c r="R8">
        <f t="shared" si="1"/>
        <v>0</v>
      </c>
      <c r="S8" s="38">
        <f t="shared" si="2"/>
        <v>0</v>
      </c>
    </row>
    <row r="9" spans="1:19" ht="18" customHeight="1" x14ac:dyDescent="0.2">
      <c r="A9" s="3" t="s">
        <v>44</v>
      </c>
      <c r="B9" s="32" t="s">
        <v>45</v>
      </c>
      <c r="C9" s="3">
        <v>42</v>
      </c>
      <c r="D9" s="3">
        <v>9.08</v>
      </c>
      <c r="E9" s="45">
        <f>$Q9</f>
        <v>0</v>
      </c>
      <c r="F9" s="45">
        <f t="shared" ref="F9:G9" si="4">$Q9</f>
        <v>0</v>
      </c>
      <c r="G9" s="45">
        <f t="shared" si="4"/>
        <v>0</v>
      </c>
      <c r="H9" s="45">
        <f t="shared" si="3"/>
        <v>0</v>
      </c>
      <c r="I9" s="45">
        <f t="shared" si="0"/>
        <v>0</v>
      </c>
      <c r="J9" s="45">
        <f t="shared" si="0"/>
        <v>0</v>
      </c>
      <c r="K9" s="45">
        <f t="shared" si="0"/>
        <v>0</v>
      </c>
      <c r="L9" s="41">
        <v>0</v>
      </c>
      <c r="M9" s="41">
        <v>0</v>
      </c>
      <c r="N9" s="45">
        <f t="shared" si="0"/>
        <v>0</v>
      </c>
      <c r="O9" s="45">
        <f t="shared" si="0"/>
        <v>0</v>
      </c>
      <c r="P9" s="45">
        <f t="shared" si="0"/>
        <v>0</v>
      </c>
      <c r="Q9" s="42">
        <v>0</v>
      </c>
      <c r="R9">
        <f t="shared" si="1"/>
        <v>0</v>
      </c>
      <c r="S9" s="38">
        <f t="shared" si="2"/>
        <v>0</v>
      </c>
    </row>
    <row r="10" spans="1:19" ht="18" customHeight="1" x14ac:dyDescent="0.2">
      <c r="A10" s="3" t="s">
        <v>48</v>
      </c>
      <c r="B10" s="32" t="s">
        <v>47</v>
      </c>
      <c r="C10" s="3">
        <v>120</v>
      </c>
      <c r="D10" s="3">
        <v>15.8</v>
      </c>
      <c r="E10" s="41">
        <v>0</v>
      </c>
      <c r="F10" s="41">
        <v>0</v>
      </c>
      <c r="G10" s="41">
        <v>0</v>
      </c>
      <c r="H10" s="41">
        <v>0</v>
      </c>
      <c r="I10" s="43">
        <f t="shared" si="0"/>
        <v>0</v>
      </c>
      <c r="J10" s="43">
        <f t="shared" si="0"/>
        <v>0</v>
      </c>
      <c r="K10" s="43">
        <f t="shared" si="0"/>
        <v>0</v>
      </c>
      <c r="L10" s="43">
        <f t="shared" si="0"/>
        <v>0</v>
      </c>
      <c r="M10" s="43">
        <f t="shared" si="0"/>
        <v>0</v>
      </c>
      <c r="N10" s="41">
        <v>0</v>
      </c>
      <c r="O10" s="41">
        <v>0</v>
      </c>
      <c r="P10" s="41">
        <v>0</v>
      </c>
      <c r="Q10" s="42">
        <v>0</v>
      </c>
      <c r="R10">
        <f t="shared" si="1"/>
        <v>0</v>
      </c>
      <c r="S10" s="38">
        <f t="shared" si="2"/>
        <v>0</v>
      </c>
    </row>
    <row r="11" spans="1:19" ht="18" customHeight="1" x14ac:dyDescent="0.2">
      <c r="A11" s="3" t="s">
        <v>51</v>
      </c>
      <c r="B11" s="32" t="s">
        <v>50</v>
      </c>
      <c r="C11" s="3">
        <v>200</v>
      </c>
      <c r="D11" s="3">
        <v>11.4</v>
      </c>
      <c r="E11" s="41">
        <v>0</v>
      </c>
      <c r="F11" s="41">
        <v>0</v>
      </c>
      <c r="G11" s="41">
        <v>0</v>
      </c>
      <c r="H11" s="45">
        <f t="shared" si="0"/>
        <v>0</v>
      </c>
      <c r="I11" s="45">
        <f t="shared" si="0"/>
        <v>0</v>
      </c>
      <c r="J11" s="45">
        <f t="shared" si="0"/>
        <v>0</v>
      </c>
      <c r="K11" s="45">
        <f t="shared" si="0"/>
        <v>0</v>
      </c>
      <c r="L11" s="45">
        <f t="shared" si="0"/>
        <v>0</v>
      </c>
      <c r="M11" s="45">
        <f t="shared" si="0"/>
        <v>0</v>
      </c>
      <c r="N11" s="41">
        <v>0</v>
      </c>
      <c r="O11" s="41">
        <v>0</v>
      </c>
      <c r="P11" s="41">
        <v>0</v>
      </c>
      <c r="Q11" s="42">
        <v>0</v>
      </c>
      <c r="R11">
        <f t="shared" si="1"/>
        <v>0</v>
      </c>
      <c r="S11" s="38">
        <f t="shared" si="2"/>
        <v>0</v>
      </c>
    </row>
    <row r="12" spans="1:19" ht="18" customHeight="1" x14ac:dyDescent="0.2">
      <c r="A12" s="3" t="s">
        <v>54</v>
      </c>
      <c r="B12" s="32" t="s">
        <v>53</v>
      </c>
      <c r="C12" s="3">
        <v>641</v>
      </c>
      <c r="D12" s="3">
        <v>18.3</v>
      </c>
      <c r="E12" s="41">
        <v>0</v>
      </c>
      <c r="F12" s="41">
        <v>0</v>
      </c>
      <c r="G12" s="43">
        <f t="shared" ref="G12:L12" si="5">$Q12</f>
        <v>0</v>
      </c>
      <c r="H12" s="43">
        <f t="shared" si="5"/>
        <v>0</v>
      </c>
      <c r="I12" s="43">
        <f t="shared" si="5"/>
        <v>0</v>
      </c>
      <c r="J12" s="43">
        <f t="shared" si="5"/>
        <v>0</v>
      </c>
      <c r="K12" s="43">
        <f t="shared" si="5"/>
        <v>0</v>
      </c>
      <c r="L12" s="43">
        <f t="shared" si="5"/>
        <v>0</v>
      </c>
      <c r="M12" s="41">
        <v>0</v>
      </c>
      <c r="N12" s="41">
        <v>0</v>
      </c>
      <c r="O12" s="41">
        <v>0</v>
      </c>
      <c r="P12" s="41">
        <v>0</v>
      </c>
      <c r="Q12" s="42">
        <v>0</v>
      </c>
      <c r="R12">
        <f>Q12*C12</f>
        <v>0</v>
      </c>
      <c r="S12" s="38">
        <f>R12*D12</f>
        <v>0</v>
      </c>
    </row>
    <row r="13" spans="1:19" ht="18" customHeight="1" x14ac:dyDescent="0.2">
      <c r="A13" s="3" t="s">
        <v>55</v>
      </c>
      <c r="B13" s="32" t="s">
        <v>56</v>
      </c>
      <c r="C13" s="3">
        <v>175</v>
      </c>
      <c r="D13" s="3">
        <v>16.100000000000001</v>
      </c>
      <c r="E13" s="41">
        <v>0</v>
      </c>
      <c r="F13" s="41">
        <v>0</v>
      </c>
      <c r="G13" s="41">
        <v>0</v>
      </c>
      <c r="H13" s="41">
        <v>0</v>
      </c>
      <c r="I13" s="45">
        <f t="shared" si="0"/>
        <v>0</v>
      </c>
      <c r="J13" s="45">
        <f t="shared" si="0"/>
        <v>0</v>
      </c>
      <c r="K13" s="45">
        <f t="shared" si="0"/>
        <v>0</v>
      </c>
      <c r="L13" s="45">
        <f t="shared" si="0"/>
        <v>0</v>
      </c>
      <c r="M13" s="45">
        <f t="shared" si="0"/>
        <v>0</v>
      </c>
      <c r="N13" s="41">
        <v>0</v>
      </c>
      <c r="O13" s="41">
        <v>0</v>
      </c>
      <c r="P13" s="41">
        <v>0</v>
      </c>
      <c r="Q13" s="42">
        <v>0</v>
      </c>
      <c r="R13">
        <f t="shared" si="1"/>
        <v>0</v>
      </c>
      <c r="S13" s="38">
        <f t="shared" si="2"/>
        <v>0</v>
      </c>
    </row>
    <row r="14" spans="1:19" ht="18" customHeight="1" x14ac:dyDescent="0.2">
      <c r="A14" s="3" t="s">
        <v>59</v>
      </c>
      <c r="B14" s="32" t="s">
        <v>58</v>
      </c>
      <c r="C14" s="3">
        <v>31</v>
      </c>
      <c r="D14" s="3">
        <v>15.4</v>
      </c>
      <c r="E14" s="41">
        <v>0</v>
      </c>
      <c r="F14" s="41">
        <v>0</v>
      </c>
      <c r="G14" s="41">
        <v>0</v>
      </c>
      <c r="H14" s="43">
        <f t="shared" ref="H14" si="6">$Q14</f>
        <v>0</v>
      </c>
      <c r="I14" s="43">
        <f t="shared" si="0"/>
        <v>0</v>
      </c>
      <c r="J14" s="43">
        <f t="shared" si="0"/>
        <v>0</v>
      </c>
      <c r="K14" s="41">
        <v>0</v>
      </c>
      <c r="L14" s="46">
        <v>0</v>
      </c>
      <c r="M14" s="46">
        <v>0</v>
      </c>
      <c r="N14" s="46">
        <v>0</v>
      </c>
      <c r="O14" s="41">
        <v>0</v>
      </c>
      <c r="P14" s="41">
        <v>0</v>
      </c>
      <c r="Q14" s="42">
        <v>0</v>
      </c>
      <c r="R14">
        <f t="shared" si="1"/>
        <v>0</v>
      </c>
      <c r="S14" s="38">
        <f t="shared" si="2"/>
        <v>0</v>
      </c>
    </row>
    <row r="15" spans="1:19" ht="18" customHeight="1" x14ac:dyDescent="0.2">
      <c r="A15" s="3" t="s">
        <v>62</v>
      </c>
      <c r="B15" s="32" t="s">
        <v>61</v>
      </c>
      <c r="C15" s="3">
        <v>31</v>
      </c>
      <c r="D15" s="3">
        <v>15.4</v>
      </c>
      <c r="E15" s="41">
        <v>0</v>
      </c>
      <c r="F15" s="41">
        <v>0</v>
      </c>
      <c r="G15" s="41">
        <v>0</v>
      </c>
      <c r="H15" s="46">
        <v>0</v>
      </c>
      <c r="I15" s="46">
        <v>0</v>
      </c>
      <c r="J15" s="46">
        <v>0</v>
      </c>
      <c r="K15" s="41">
        <v>0</v>
      </c>
      <c r="L15" s="45">
        <f t="shared" si="0"/>
        <v>0</v>
      </c>
      <c r="M15" s="45">
        <f t="shared" si="0"/>
        <v>0</v>
      </c>
      <c r="N15" s="45">
        <f t="shared" si="0"/>
        <v>0</v>
      </c>
      <c r="O15" s="41">
        <v>0</v>
      </c>
      <c r="P15" s="41">
        <v>0</v>
      </c>
      <c r="Q15" s="42">
        <v>0</v>
      </c>
      <c r="R15">
        <f t="shared" si="1"/>
        <v>0</v>
      </c>
      <c r="S15" s="38">
        <f t="shared" si="2"/>
        <v>0</v>
      </c>
    </row>
    <row r="16" spans="1:19" ht="18" customHeight="1" x14ac:dyDescent="0.2">
      <c r="A16" s="3" t="s">
        <v>63</v>
      </c>
      <c r="B16" s="32" t="s">
        <v>64</v>
      </c>
      <c r="C16" s="3">
        <v>15.46</v>
      </c>
      <c r="D16" s="3">
        <v>5.178E-2</v>
      </c>
      <c r="E16" s="41">
        <v>0</v>
      </c>
      <c r="F16" s="41">
        <v>0</v>
      </c>
      <c r="G16" s="43">
        <f t="shared" ref="G16:K16" si="7">$Q16</f>
        <v>0</v>
      </c>
      <c r="H16" s="43">
        <f t="shared" si="7"/>
        <v>0</v>
      </c>
      <c r="I16" s="43">
        <f t="shared" si="7"/>
        <v>0</v>
      </c>
      <c r="J16" s="43">
        <f t="shared" si="7"/>
        <v>0</v>
      </c>
      <c r="K16" s="43">
        <f t="shared" si="7"/>
        <v>0</v>
      </c>
      <c r="L16" s="43">
        <f t="shared" si="0"/>
        <v>0</v>
      </c>
      <c r="M16" s="46">
        <v>0</v>
      </c>
      <c r="N16" s="46">
        <v>0</v>
      </c>
      <c r="O16" s="41">
        <v>0</v>
      </c>
      <c r="P16" s="41">
        <v>0</v>
      </c>
      <c r="Q16" s="42">
        <v>0</v>
      </c>
      <c r="R16">
        <f t="shared" si="1"/>
        <v>0</v>
      </c>
      <c r="S16" s="38">
        <f t="shared" si="2"/>
        <v>0</v>
      </c>
    </row>
    <row r="17" spans="1:19" ht="18" customHeight="1" x14ac:dyDescent="0.2">
      <c r="E17" s="47">
        <f>SUM(E3:E16)</f>
        <v>0</v>
      </c>
      <c r="F17" s="47">
        <f t="shared" ref="F17:P17" si="8">SUM(F3:F16)</f>
        <v>0</v>
      </c>
      <c r="G17" s="47">
        <f t="shared" si="8"/>
        <v>0</v>
      </c>
      <c r="H17" s="47">
        <f t="shared" si="8"/>
        <v>0</v>
      </c>
      <c r="I17" s="47">
        <f t="shared" si="8"/>
        <v>0</v>
      </c>
      <c r="J17" s="47">
        <f t="shared" si="8"/>
        <v>0</v>
      </c>
      <c r="K17" s="47">
        <f t="shared" si="8"/>
        <v>0</v>
      </c>
      <c r="L17" s="47">
        <f t="shared" si="8"/>
        <v>0</v>
      </c>
      <c r="M17" s="47">
        <f t="shared" si="8"/>
        <v>0</v>
      </c>
      <c r="N17" s="47">
        <f t="shared" si="8"/>
        <v>0</v>
      </c>
      <c r="O17" s="47">
        <f t="shared" si="8"/>
        <v>0</v>
      </c>
      <c r="P17" s="47">
        <f t="shared" si="8"/>
        <v>0</v>
      </c>
      <c r="Q17" s="48"/>
      <c r="S17" s="39">
        <f>SUM(S3:S16)</f>
        <v>0</v>
      </c>
    </row>
    <row r="18" spans="1:19" ht="18" customHeight="1" x14ac:dyDescent="0.2">
      <c r="A18" s="36" t="s">
        <v>65</v>
      </c>
      <c r="B18" s="37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367D-7897-544B-AF0C-4032D5BE96D2}">
  <dimension ref="A2:T19"/>
  <sheetViews>
    <sheetView zoomScale="81" zoomScaleNormal="70" workbookViewId="0">
      <selection activeCell="U26" sqref="U26"/>
    </sheetView>
  </sheetViews>
  <sheetFormatPr baseColWidth="10" defaultColWidth="11" defaultRowHeight="18" customHeight="1" x14ac:dyDescent="0.2"/>
  <cols>
    <col min="1" max="1" width="15.1640625" bestFit="1" customWidth="1"/>
    <col min="2" max="2" width="7.83203125" bestFit="1" customWidth="1"/>
    <col min="3" max="3" width="7.6640625" bestFit="1" customWidth="1"/>
    <col min="4" max="4" width="8.33203125" customWidth="1"/>
    <col min="5" max="16" width="4.83203125" customWidth="1"/>
    <col min="17" max="18" width="11" bestFit="1" customWidth="1"/>
    <col min="19" max="19" width="11" customWidth="1"/>
    <col min="20" max="20" width="14.83203125" bestFit="1" customWidth="1"/>
  </cols>
  <sheetData>
    <row r="2" spans="1:20" ht="18" customHeight="1" x14ac:dyDescent="0.2">
      <c r="A2" s="2" t="s">
        <v>18</v>
      </c>
      <c r="B2" s="2" t="s">
        <v>5</v>
      </c>
      <c r="C2" s="2" t="s">
        <v>19</v>
      </c>
      <c r="D2" s="2" t="s">
        <v>20</v>
      </c>
      <c r="E2" s="2" t="s">
        <v>6</v>
      </c>
      <c r="F2" s="2" t="s">
        <v>7</v>
      </c>
      <c r="G2" s="16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25</v>
      </c>
      <c r="R2" s="2" t="s">
        <v>26</v>
      </c>
      <c r="S2" s="2" t="s">
        <v>68</v>
      </c>
      <c r="T2" s="2" t="s">
        <v>69</v>
      </c>
    </row>
    <row r="3" spans="1:20" ht="18" customHeight="1" x14ac:dyDescent="0.2">
      <c r="A3" s="3" t="s">
        <v>28</v>
      </c>
      <c r="B3" s="32" t="s">
        <v>29</v>
      </c>
      <c r="C3" s="3">
        <v>22.6</v>
      </c>
      <c r="D3" s="3">
        <v>9.27</v>
      </c>
      <c r="E3" s="41">
        <v>0</v>
      </c>
      <c r="F3" s="41">
        <v>0</v>
      </c>
      <c r="G3" s="40">
        <f>$Q3</f>
        <v>0</v>
      </c>
      <c r="H3" s="40">
        <f t="shared" ref="H3:P16" si="0">$Q3</f>
        <v>0</v>
      </c>
      <c r="I3" s="40">
        <f t="shared" si="0"/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41">
        <v>0</v>
      </c>
      <c r="N3" s="41">
        <v>0</v>
      </c>
      <c r="O3" s="41">
        <v>0</v>
      </c>
      <c r="P3" s="41">
        <v>0</v>
      </c>
      <c r="Q3" s="42">
        <v>0</v>
      </c>
      <c r="R3">
        <f>Q3*C3</f>
        <v>0</v>
      </c>
      <c r="S3" s="49">
        <f>C3*50</f>
        <v>1130</v>
      </c>
      <c r="T3" s="38">
        <f t="shared" ref="T3:T16" si="1">R3*D3</f>
        <v>0</v>
      </c>
    </row>
    <row r="4" spans="1:20" ht="18" customHeight="1" x14ac:dyDescent="0.2">
      <c r="A4" s="3" t="s">
        <v>32</v>
      </c>
      <c r="B4" s="32" t="s">
        <v>31</v>
      </c>
      <c r="C4" s="3">
        <v>116.5</v>
      </c>
      <c r="D4" s="3">
        <v>9.91</v>
      </c>
      <c r="E4" s="41">
        <v>0</v>
      </c>
      <c r="F4" s="41">
        <v>0</v>
      </c>
      <c r="G4" s="41">
        <v>0</v>
      </c>
      <c r="H4" s="43">
        <f>$Q4</f>
        <v>50</v>
      </c>
      <c r="I4" s="43">
        <f t="shared" si="0"/>
        <v>50</v>
      </c>
      <c r="J4" s="43">
        <f t="shared" si="0"/>
        <v>50</v>
      </c>
      <c r="K4" s="43">
        <f t="shared" si="0"/>
        <v>50</v>
      </c>
      <c r="L4" s="43">
        <f t="shared" si="0"/>
        <v>50</v>
      </c>
      <c r="M4" s="43">
        <f t="shared" si="0"/>
        <v>50</v>
      </c>
      <c r="N4" s="43">
        <f t="shared" si="0"/>
        <v>50</v>
      </c>
      <c r="O4" s="43">
        <f t="shared" si="0"/>
        <v>50</v>
      </c>
      <c r="P4" s="41">
        <v>0</v>
      </c>
      <c r="Q4" s="42">
        <v>50</v>
      </c>
      <c r="R4">
        <f t="shared" ref="R4:R16" si="2">Q4*C4</f>
        <v>5825</v>
      </c>
      <c r="S4" s="49">
        <f t="shared" ref="S4:S16" si="3">C4*50</f>
        <v>5825</v>
      </c>
      <c r="T4" s="38">
        <f t="shared" si="1"/>
        <v>57725.75</v>
      </c>
    </row>
    <row r="5" spans="1:20" ht="18" customHeight="1" x14ac:dyDescent="0.2">
      <c r="A5" s="3" t="s">
        <v>35</v>
      </c>
      <c r="B5" s="32" t="s">
        <v>34</v>
      </c>
      <c r="C5" s="3">
        <v>78.599999999999994</v>
      </c>
      <c r="D5" s="3">
        <v>12.15</v>
      </c>
      <c r="E5" s="41">
        <v>0</v>
      </c>
      <c r="F5" s="41">
        <v>0</v>
      </c>
      <c r="G5" s="41">
        <v>0</v>
      </c>
      <c r="H5" s="44">
        <f>$Q5</f>
        <v>50</v>
      </c>
      <c r="I5" s="44">
        <f t="shared" si="0"/>
        <v>50</v>
      </c>
      <c r="J5" s="44">
        <f t="shared" si="0"/>
        <v>50</v>
      </c>
      <c r="K5" s="44">
        <f t="shared" si="0"/>
        <v>50</v>
      </c>
      <c r="L5" s="44">
        <f t="shared" si="0"/>
        <v>50</v>
      </c>
      <c r="M5" s="44">
        <f t="shared" si="0"/>
        <v>50</v>
      </c>
      <c r="N5" s="41">
        <v>0</v>
      </c>
      <c r="O5" s="41">
        <v>0</v>
      </c>
      <c r="P5" s="41">
        <v>0</v>
      </c>
      <c r="Q5" s="42">
        <v>50</v>
      </c>
      <c r="R5">
        <f t="shared" si="2"/>
        <v>3929.9999999999995</v>
      </c>
      <c r="S5" s="49">
        <f t="shared" si="3"/>
        <v>3929.9999999999995</v>
      </c>
      <c r="T5" s="38">
        <f t="shared" si="1"/>
        <v>47749.499999999993</v>
      </c>
    </row>
    <row r="6" spans="1:20" ht="18" customHeight="1" x14ac:dyDescent="0.2">
      <c r="A6" s="3" t="s">
        <v>38</v>
      </c>
      <c r="B6" s="32" t="s">
        <v>37</v>
      </c>
      <c r="C6" s="3">
        <v>39.29</v>
      </c>
      <c r="D6" s="3">
        <v>12.2</v>
      </c>
      <c r="E6" s="41">
        <v>0</v>
      </c>
      <c r="F6" s="41">
        <v>0</v>
      </c>
      <c r="G6" s="41">
        <v>0</v>
      </c>
      <c r="H6" s="43">
        <f>$Q6</f>
        <v>30</v>
      </c>
      <c r="I6" s="43">
        <f t="shared" si="0"/>
        <v>30</v>
      </c>
      <c r="J6" s="43">
        <f t="shared" si="0"/>
        <v>30</v>
      </c>
      <c r="K6" s="43">
        <f t="shared" si="0"/>
        <v>30</v>
      </c>
      <c r="L6" s="43">
        <f t="shared" si="0"/>
        <v>30</v>
      </c>
      <c r="M6" s="43">
        <f t="shared" si="0"/>
        <v>30</v>
      </c>
      <c r="N6" s="43">
        <f t="shared" si="0"/>
        <v>30</v>
      </c>
      <c r="O6" s="41">
        <v>0</v>
      </c>
      <c r="P6" s="41">
        <v>0</v>
      </c>
      <c r="Q6" s="42">
        <v>30</v>
      </c>
      <c r="R6">
        <f t="shared" si="2"/>
        <v>1178.7</v>
      </c>
      <c r="S6" s="49">
        <f t="shared" si="3"/>
        <v>1964.5</v>
      </c>
      <c r="T6" s="38">
        <f t="shared" si="1"/>
        <v>14380.14</v>
      </c>
    </row>
    <row r="7" spans="1:20" ht="18" customHeight="1" x14ac:dyDescent="0.2">
      <c r="A7" s="3" t="s">
        <v>41</v>
      </c>
      <c r="B7" s="32" t="s">
        <v>40</v>
      </c>
      <c r="C7" s="3">
        <v>625</v>
      </c>
      <c r="D7" s="3">
        <v>10.3</v>
      </c>
      <c r="E7" s="41">
        <v>0</v>
      </c>
      <c r="F7" s="41">
        <v>0</v>
      </c>
      <c r="G7" s="41">
        <v>0</v>
      </c>
      <c r="H7" s="44">
        <f>$Q7</f>
        <v>50</v>
      </c>
      <c r="I7" s="44">
        <f t="shared" si="0"/>
        <v>50</v>
      </c>
      <c r="J7" s="44">
        <f t="shared" si="0"/>
        <v>50</v>
      </c>
      <c r="K7" s="44">
        <f t="shared" si="0"/>
        <v>50</v>
      </c>
      <c r="L7" s="44">
        <f t="shared" si="0"/>
        <v>50</v>
      </c>
      <c r="M7" s="44">
        <f t="shared" si="0"/>
        <v>50</v>
      </c>
      <c r="N7" s="44">
        <f t="shared" si="0"/>
        <v>50</v>
      </c>
      <c r="O7" s="41">
        <v>0</v>
      </c>
      <c r="P7" s="41">
        <v>0</v>
      </c>
      <c r="Q7" s="42">
        <v>50</v>
      </c>
      <c r="R7">
        <f t="shared" si="2"/>
        <v>31250</v>
      </c>
      <c r="S7" s="49">
        <f>C7*50</f>
        <v>31250</v>
      </c>
      <c r="T7" s="38">
        <f t="shared" si="1"/>
        <v>321875</v>
      </c>
    </row>
    <row r="8" spans="1:20" ht="18" customHeight="1" x14ac:dyDescent="0.2">
      <c r="A8" s="3" t="s">
        <v>42</v>
      </c>
      <c r="B8" s="32" t="s">
        <v>43</v>
      </c>
      <c r="C8" s="3">
        <v>42</v>
      </c>
      <c r="D8" s="3">
        <v>9.08</v>
      </c>
      <c r="E8" s="41">
        <v>0</v>
      </c>
      <c r="F8" s="41">
        <v>0</v>
      </c>
      <c r="G8" s="41">
        <v>0</v>
      </c>
      <c r="H8" s="43">
        <f t="shared" ref="H8:H9" si="4">$Q8</f>
        <v>0</v>
      </c>
      <c r="I8" s="43">
        <f t="shared" si="0"/>
        <v>0</v>
      </c>
      <c r="J8" s="43">
        <f t="shared" si="0"/>
        <v>0</v>
      </c>
      <c r="K8" s="43">
        <f t="shared" si="0"/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2">
        <v>0</v>
      </c>
      <c r="R8">
        <f t="shared" si="2"/>
        <v>0</v>
      </c>
      <c r="S8" s="49">
        <f t="shared" si="3"/>
        <v>2100</v>
      </c>
      <c r="T8" s="38">
        <f t="shared" si="1"/>
        <v>0</v>
      </c>
    </row>
    <row r="9" spans="1:20" ht="18" customHeight="1" x14ac:dyDescent="0.2">
      <c r="A9" s="3" t="s">
        <v>44</v>
      </c>
      <c r="B9" s="32" t="s">
        <v>45</v>
      </c>
      <c r="C9" s="3">
        <v>42</v>
      </c>
      <c r="D9" s="3">
        <v>9.08</v>
      </c>
      <c r="E9" s="45">
        <f>$Q9</f>
        <v>0</v>
      </c>
      <c r="F9" s="45">
        <f t="shared" ref="F9:G9" si="5">$Q9</f>
        <v>0</v>
      </c>
      <c r="G9" s="45">
        <f t="shared" si="5"/>
        <v>0</v>
      </c>
      <c r="H9" s="45">
        <f t="shared" si="4"/>
        <v>0</v>
      </c>
      <c r="I9" s="45">
        <f t="shared" si="0"/>
        <v>0</v>
      </c>
      <c r="J9" s="45">
        <f t="shared" si="0"/>
        <v>0</v>
      </c>
      <c r="K9" s="45">
        <f t="shared" si="0"/>
        <v>0</v>
      </c>
      <c r="L9" s="41">
        <v>0</v>
      </c>
      <c r="M9" s="41">
        <v>0</v>
      </c>
      <c r="N9" s="45">
        <f t="shared" si="0"/>
        <v>0</v>
      </c>
      <c r="O9" s="45">
        <f t="shared" si="0"/>
        <v>0</v>
      </c>
      <c r="P9" s="45">
        <f t="shared" si="0"/>
        <v>0</v>
      </c>
      <c r="Q9" s="42">
        <v>0</v>
      </c>
      <c r="R9">
        <f t="shared" si="2"/>
        <v>0</v>
      </c>
      <c r="S9" s="49">
        <f t="shared" si="3"/>
        <v>2100</v>
      </c>
      <c r="T9" s="38">
        <f t="shared" si="1"/>
        <v>0</v>
      </c>
    </row>
    <row r="10" spans="1:20" ht="18" customHeight="1" x14ac:dyDescent="0.2">
      <c r="A10" s="3" t="s">
        <v>48</v>
      </c>
      <c r="B10" s="32" t="s">
        <v>47</v>
      </c>
      <c r="C10" s="3">
        <v>120</v>
      </c>
      <c r="D10" s="3">
        <v>15.8</v>
      </c>
      <c r="E10" s="41">
        <v>0</v>
      </c>
      <c r="F10" s="41">
        <v>0</v>
      </c>
      <c r="G10" s="41">
        <v>0</v>
      </c>
      <c r="H10" s="41">
        <v>0</v>
      </c>
      <c r="I10" s="43">
        <f t="shared" si="0"/>
        <v>50</v>
      </c>
      <c r="J10" s="43">
        <f t="shared" si="0"/>
        <v>50</v>
      </c>
      <c r="K10" s="43">
        <f t="shared" si="0"/>
        <v>50</v>
      </c>
      <c r="L10" s="43">
        <f t="shared" si="0"/>
        <v>50</v>
      </c>
      <c r="M10" s="43">
        <f t="shared" si="0"/>
        <v>50</v>
      </c>
      <c r="N10" s="41">
        <v>0</v>
      </c>
      <c r="O10" s="41">
        <v>0</v>
      </c>
      <c r="P10" s="41">
        <v>0</v>
      </c>
      <c r="Q10" s="42">
        <v>50</v>
      </c>
      <c r="R10">
        <f t="shared" si="2"/>
        <v>6000</v>
      </c>
      <c r="S10" s="49">
        <f t="shared" si="3"/>
        <v>6000</v>
      </c>
      <c r="T10" s="38">
        <f t="shared" si="1"/>
        <v>94800</v>
      </c>
    </row>
    <row r="11" spans="1:20" ht="18" customHeight="1" x14ac:dyDescent="0.2">
      <c r="A11" s="3" t="s">
        <v>51</v>
      </c>
      <c r="B11" s="32" t="s">
        <v>50</v>
      </c>
      <c r="C11" s="3">
        <v>200</v>
      </c>
      <c r="D11" s="3">
        <v>11.4</v>
      </c>
      <c r="E11" s="41">
        <v>0</v>
      </c>
      <c r="F11" s="41">
        <v>0</v>
      </c>
      <c r="G11" s="41">
        <v>0</v>
      </c>
      <c r="H11" s="45">
        <f t="shared" si="0"/>
        <v>50</v>
      </c>
      <c r="I11" s="45">
        <f t="shared" si="0"/>
        <v>50</v>
      </c>
      <c r="J11" s="45">
        <f t="shared" si="0"/>
        <v>50</v>
      </c>
      <c r="K11" s="45">
        <f t="shared" si="0"/>
        <v>50</v>
      </c>
      <c r="L11" s="45">
        <f t="shared" si="0"/>
        <v>50</v>
      </c>
      <c r="M11" s="45">
        <f t="shared" si="0"/>
        <v>50</v>
      </c>
      <c r="N11" s="41">
        <v>0</v>
      </c>
      <c r="O11" s="41">
        <v>0</v>
      </c>
      <c r="P11" s="41">
        <v>0</v>
      </c>
      <c r="Q11" s="42">
        <v>50</v>
      </c>
      <c r="R11">
        <f t="shared" si="2"/>
        <v>10000</v>
      </c>
      <c r="S11" s="49">
        <f t="shared" si="3"/>
        <v>10000</v>
      </c>
      <c r="T11" s="38">
        <f t="shared" si="1"/>
        <v>114000</v>
      </c>
    </row>
    <row r="12" spans="1:20" ht="18" customHeight="1" x14ac:dyDescent="0.2">
      <c r="A12" s="3" t="s">
        <v>54</v>
      </c>
      <c r="B12" s="32" t="s">
        <v>53</v>
      </c>
      <c r="C12" s="3">
        <v>641</v>
      </c>
      <c r="D12" s="3">
        <v>18.3</v>
      </c>
      <c r="E12" s="41">
        <v>0</v>
      </c>
      <c r="F12" s="41">
        <v>0</v>
      </c>
      <c r="G12" s="43">
        <f t="shared" ref="G12:L12" si="6">$Q12</f>
        <v>50</v>
      </c>
      <c r="H12" s="43">
        <f t="shared" si="6"/>
        <v>50</v>
      </c>
      <c r="I12" s="43">
        <f t="shared" si="6"/>
        <v>50</v>
      </c>
      <c r="J12" s="43">
        <f t="shared" si="6"/>
        <v>50</v>
      </c>
      <c r="K12" s="43">
        <f t="shared" si="6"/>
        <v>50</v>
      </c>
      <c r="L12" s="43">
        <f t="shared" si="6"/>
        <v>50</v>
      </c>
      <c r="M12" s="41">
        <v>0</v>
      </c>
      <c r="N12" s="41">
        <v>0</v>
      </c>
      <c r="O12" s="41">
        <v>0</v>
      </c>
      <c r="P12" s="41">
        <v>0</v>
      </c>
      <c r="Q12" s="42">
        <v>50</v>
      </c>
      <c r="R12">
        <f>Q12*C12</f>
        <v>32050</v>
      </c>
      <c r="S12" s="49">
        <f t="shared" si="3"/>
        <v>32050</v>
      </c>
      <c r="T12" s="38">
        <f t="shared" si="1"/>
        <v>586515</v>
      </c>
    </row>
    <row r="13" spans="1:20" ht="18" customHeight="1" x14ac:dyDescent="0.2">
      <c r="A13" s="3" t="s">
        <v>55</v>
      </c>
      <c r="B13" s="32" t="s">
        <v>56</v>
      </c>
      <c r="C13" s="3">
        <v>175</v>
      </c>
      <c r="D13" s="3">
        <v>16.100000000000001</v>
      </c>
      <c r="E13" s="41">
        <v>0</v>
      </c>
      <c r="F13" s="41">
        <v>0</v>
      </c>
      <c r="G13" s="41">
        <v>0</v>
      </c>
      <c r="H13" s="41">
        <v>0</v>
      </c>
      <c r="I13" s="45">
        <f t="shared" si="0"/>
        <v>50</v>
      </c>
      <c r="J13" s="45">
        <f t="shared" si="0"/>
        <v>50</v>
      </c>
      <c r="K13" s="45">
        <f t="shared" si="0"/>
        <v>50</v>
      </c>
      <c r="L13" s="45">
        <f t="shared" si="0"/>
        <v>50</v>
      </c>
      <c r="M13" s="45">
        <f t="shared" si="0"/>
        <v>50</v>
      </c>
      <c r="N13" s="41">
        <v>0</v>
      </c>
      <c r="O13" s="41">
        <v>0</v>
      </c>
      <c r="P13" s="41">
        <v>0</v>
      </c>
      <c r="Q13" s="42">
        <v>50</v>
      </c>
      <c r="R13">
        <f t="shared" si="2"/>
        <v>8750</v>
      </c>
      <c r="S13" s="49">
        <f t="shared" si="3"/>
        <v>8750</v>
      </c>
      <c r="T13" s="38">
        <f t="shared" si="1"/>
        <v>140875</v>
      </c>
    </row>
    <row r="14" spans="1:20" ht="18" customHeight="1" x14ac:dyDescent="0.2">
      <c r="A14" s="3" t="s">
        <v>59</v>
      </c>
      <c r="B14" s="32" t="s">
        <v>58</v>
      </c>
      <c r="C14" s="3">
        <v>31</v>
      </c>
      <c r="D14" s="3">
        <v>15.4</v>
      </c>
      <c r="E14" s="41">
        <v>0</v>
      </c>
      <c r="F14" s="41">
        <v>0</v>
      </c>
      <c r="G14" s="41">
        <v>0</v>
      </c>
      <c r="H14" s="43">
        <f t="shared" ref="H14" si="7">$Q14</f>
        <v>50</v>
      </c>
      <c r="I14" s="43">
        <f t="shared" si="0"/>
        <v>50</v>
      </c>
      <c r="J14" s="43">
        <f t="shared" si="0"/>
        <v>50</v>
      </c>
      <c r="K14" s="41">
        <v>0</v>
      </c>
      <c r="L14" s="46">
        <v>0</v>
      </c>
      <c r="M14" s="46">
        <v>0</v>
      </c>
      <c r="N14" s="46">
        <v>0</v>
      </c>
      <c r="O14" s="41">
        <v>0</v>
      </c>
      <c r="P14" s="41">
        <v>0</v>
      </c>
      <c r="Q14" s="42">
        <v>50</v>
      </c>
      <c r="R14">
        <f t="shared" si="2"/>
        <v>1550</v>
      </c>
      <c r="S14" s="49">
        <f t="shared" si="3"/>
        <v>1550</v>
      </c>
      <c r="T14" s="38">
        <f t="shared" si="1"/>
        <v>23870</v>
      </c>
    </row>
    <row r="15" spans="1:20" ht="18" customHeight="1" x14ac:dyDescent="0.2">
      <c r="A15" s="3" t="s">
        <v>62</v>
      </c>
      <c r="B15" s="32" t="s">
        <v>61</v>
      </c>
      <c r="C15" s="3">
        <v>31</v>
      </c>
      <c r="D15" s="3">
        <v>15.4</v>
      </c>
      <c r="E15" s="41">
        <v>0</v>
      </c>
      <c r="F15" s="41">
        <v>0</v>
      </c>
      <c r="G15" s="41">
        <v>0</v>
      </c>
      <c r="H15" s="46">
        <v>0</v>
      </c>
      <c r="I15" s="46">
        <v>0</v>
      </c>
      <c r="J15" s="46">
        <v>0</v>
      </c>
      <c r="K15" s="41">
        <v>0</v>
      </c>
      <c r="L15" s="45">
        <f t="shared" si="0"/>
        <v>50</v>
      </c>
      <c r="M15" s="45">
        <f t="shared" si="0"/>
        <v>50</v>
      </c>
      <c r="N15" s="45">
        <f t="shared" si="0"/>
        <v>50</v>
      </c>
      <c r="O15" s="41">
        <v>0</v>
      </c>
      <c r="P15" s="41">
        <v>0</v>
      </c>
      <c r="Q15" s="42">
        <v>50</v>
      </c>
      <c r="R15">
        <f t="shared" si="2"/>
        <v>1550</v>
      </c>
      <c r="S15" s="49">
        <f t="shared" si="3"/>
        <v>1550</v>
      </c>
      <c r="T15" s="38">
        <f t="shared" si="1"/>
        <v>23870</v>
      </c>
    </row>
    <row r="16" spans="1:20" ht="18" customHeight="1" x14ac:dyDescent="0.2">
      <c r="A16" s="3" t="s">
        <v>63</v>
      </c>
      <c r="B16" s="32" t="s">
        <v>64</v>
      </c>
      <c r="C16" s="3">
        <v>15.46</v>
      </c>
      <c r="D16" s="3">
        <v>5.178E-2</v>
      </c>
      <c r="E16" s="41">
        <v>0</v>
      </c>
      <c r="F16" s="41">
        <v>0</v>
      </c>
      <c r="G16" s="43">
        <f t="shared" ref="G16:K16" si="8">$Q16</f>
        <v>0</v>
      </c>
      <c r="H16" s="43">
        <f t="shared" si="8"/>
        <v>0</v>
      </c>
      <c r="I16" s="43">
        <f t="shared" si="8"/>
        <v>0</v>
      </c>
      <c r="J16" s="43">
        <f t="shared" si="8"/>
        <v>0</v>
      </c>
      <c r="K16" s="43">
        <f t="shared" si="8"/>
        <v>0</v>
      </c>
      <c r="L16" s="43">
        <f t="shared" si="0"/>
        <v>0</v>
      </c>
      <c r="M16" s="46">
        <v>0</v>
      </c>
      <c r="N16" s="46">
        <v>0</v>
      </c>
      <c r="O16" s="41">
        <v>0</v>
      </c>
      <c r="P16" s="41">
        <v>0</v>
      </c>
      <c r="Q16" s="42">
        <v>0</v>
      </c>
      <c r="R16">
        <f t="shared" si="2"/>
        <v>0</v>
      </c>
      <c r="S16" s="49">
        <f t="shared" si="3"/>
        <v>773</v>
      </c>
      <c r="T16" s="38">
        <f t="shared" si="1"/>
        <v>0</v>
      </c>
    </row>
    <row r="17" spans="1:20" ht="18" customHeight="1" x14ac:dyDescent="0.2">
      <c r="E17" s="47">
        <f>SUM(E3:E16)</f>
        <v>0</v>
      </c>
      <c r="F17" s="47">
        <f t="shared" ref="F17:P17" si="9">SUM(F3:F16)</f>
        <v>0</v>
      </c>
      <c r="G17" s="47">
        <f t="shared" si="9"/>
        <v>50</v>
      </c>
      <c r="H17" s="47">
        <f t="shared" si="9"/>
        <v>330</v>
      </c>
      <c r="I17" s="47">
        <f t="shared" si="9"/>
        <v>430</v>
      </c>
      <c r="J17" s="47">
        <f t="shared" si="9"/>
        <v>430</v>
      </c>
      <c r="K17" s="47">
        <f t="shared" si="9"/>
        <v>380</v>
      </c>
      <c r="L17" s="47">
        <f t="shared" si="9"/>
        <v>430</v>
      </c>
      <c r="M17" s="47">
        <f t="shared" si="9"/>
        <v>380</v>
      </c>
      <c r="N17" s="47">
        <f t="shared" si="9"/>
        <v>180</v>
      </c>
      <c r="O17" s="47">
        <f t="shared" si="9"/>
        <v>50</v>
      </c>
      <c r="P17" s="47">
        <f t="shared" si="9"/>
        <v>0</v>
      </c>
      <c r="Q17" s="48"/>
      <c r="T17" s="39">
        <f>SUM(T3:T16)</f>
        <v>1425660.3900000001</v>
      </c>
    </row>
    <row r="18" spans="1:20" ht="18" customHeight="1" x14ac:dyDescent="0.2">
      <c r="A18" s="36" t="s">
        <v>65</v>
      </c>
      <c r="B18" s="37">
        <v>430</v>
      </c>
    </row>
    <row r="19" spans="1:20" ht="18" customHeight="1" x14ac:dyDescent="0.2">
      <c r="S19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D3D0-C5A3-6D46-9605-E935DD1AD82B}">
  <dimension ref="A1:AD22"/>
  <sheetViews>
    <sheetView tabSelected="1" zoomScale="94" workbookViewId="0">
      <selection activeCell="M11" sqref="M11"/>
    </sheetView>
  </sheetViews>
  <sheetFormatPr baseColWidth="10" defaultColWidth="11" defaultRowHeight="15.75" customHeight="1" x14ac:dyDescent="0.2"/>
  <cols>
    <col min="1" max="1" width="26.1640625" bestFit="1" customWidth="1"/>
    <col min="2" max="2" width="8.1640625" customWidth="1"/>
    <col min="3" max="4" width="11.1640625" bestFit="1" customWidth="1"/>
    <col min="5" max="5" width="19" customWidth="1"/>
    <col min="6" max="17" width="4.6640625" customWidth="1"/>
    <col min="18" max="19" width="11.1640625" bestFit="1" customWidth="1"/>
    <col min="20" max="20" width="15.83203125" bestFit="1" customWidth="1"/>
    <col min="21" max="21" width="17.5" customWidth="1"/>
    <col min="30" max="30" width="14.5" bestFit="1" customWidth="1"/>
  </cols>
  <sheetData>
    <row r="1" spans="1:30" x14ac:dyDescent="0.2">
      <c r="A1" s="2" t="s">
        <v>18</v>
      </c>
      <c r="B1" s="2" t="s">
        <v>5</v>
      </c>
      <c r="C1" s="2" t="s">
        <v>19</v>
      </c>
      <c r="D1" s="2" t="s">
        <v>20</v>
      </c>
      <c r="E1" s="2" t="s">
        <v>159</v>
      </c>
      <c r="F1" s="2" t="s">
        <v>6</v>
      </c>
      <c r="G1" s="2" t="s">
        <v>7</v>
      </c>
      <c r="H1" s="16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25</v>
      </c>
      <c r="S1" s="2" t="s">
        <v>26</v>
      </c>
      <c r="T1" s="2" t="s">
        <v>160</v>
      </c>
      <c r="U1" s="2" t="s">
        <v>27</v>
      </c>
    </row>
    <row r="2" spans="1:30" x14ac:dyDescent="0.2">
      <c r="A2" s="3" t="s">
        <v>28</v>
      </c>
      <c r="B2" s="32" t="s">
        <v>29</v>
      </c>
      <c r="C2" s="3">
        <v>22.6</v>
      </c>
      <c r="D2" s="3">
        <v>9.27</v>
      </c>
      <c r="E2" s="69">
        <v>2.7</v>
      </c>
      <c r="F2" s="41">
        <v>0</v>
      </c>
      <c r="G2" s="41">
        <v>0</v>
      </c>
      <c r="H2" s="40">
        <f>$R2</f>
        <v>0</v>
      </c>
      <c r="I2" s="40">
        <f t="shared" ref="I2:Q15" si="0">$R2</f>
        <v>0</v>
      </c>
      <c r="J2" s="40">
        <f t="shared" si="0"/>
        <v>0</v>
      </c>
      <c r="K2" s="40">
        <f t="shared" si="0"/>
        <v>0</v>
      </c>
      <c r="L2" s="40">
        <f t="shared" si="0"/>
        <v>0</v>
      </c>
      <c r="M2" s="40">
        <f t="shared" si="0"/>
        <v>0</v>
      </c>
      <c r="N2" s="41">
        <v>0</v>
      </c>
      <c r="O2" s="41">
        <v>0</v>
      </c>
      <c r="P2" s="41">
        <v>0</v>
      </c>
      <c r="Q2" s="41">
        <v>0</v>
      </c>
      <c r="R2" s="42">
        <v>0</v>
      </c>
      <c r="S2">
        <f t="shared" ref="S2:S15" si="1">R2*C2</f>
        <v>0</v>
      </c>
      <c r="T2" s="1">
        <f>R2*E2</f>
        <v>0</v>
      </c>
      <c r="U2" s="38">
        <f t="shared" ref="U2:U15" si="2">S2*D2</f>
        <v>0</v>
      </c>
      <c r="X2" s="80" t="s">
        <v>193</v>
      </c>
    </row>
    <row r="3" spans="1:30" x14ac:dyDescent="0.2">
      <c r="A3" s="3" t="s">
        <v>32</v>
      </c>
      <c r="B3" s="32" t="s">
        <v>31</v>
      </c>
      <c r="C3" s="3">
        <v>116.5</v>
      </c>
      <c r="D3" s="3">
        <v>9.91</v>
      </c>
      <c r="E3" s="69">
        <v>2.8</v>
      </c>
      <c r="F3" s="41">
        <v>0</v>
      </c>
      <c r="G3" s="41">
        <v>0</v>
      </c>
      <c r="H3" s="41">
        <v>0</v>
      </c>
      <c r="I3" s="43">
        <f>$R3</f>
        <v>0</v>
      </c>
      <c r="J3" s="43">
        <f t="shared" si="0"/>
        <v>0</v>
      </c>
      <c r="K3" s="43">
        <f t="shared" si="0"/>
        <v>0</v>
      </c>
      <c r="L3" s="43">
        <f t="shared" si="0"/>
        <v>0</v>
      </c>
      <c r="M3" s="43">
        <f t="shared" si="0"/>
        <v>0</v>
      </c>
      <c r="N3" s="43">
        <f t="shared" si="0"/>
        <v>0</v>
      </c>
      <c r="O3" s="43">
        <f t="shared" si="0"/>
        <v>0</v>
      </c>
      <c r="P3" s="43">
        <f t="shared" si="0"/>
        <v>0</v>
      </c>
      <c r="Q3" s="41">
        <v>0</v>
      </c>
      <c r="R3" s="42">
        <v>0</v>
      </c>
      <c r="S3">
        <f t="shared" si="1"/>
        <v>0</v>
      </c>
      <c r="T3" s="1">
        <f t="shared" ref="T3:T15" si="3">R3*E3</f>
        <v>0</v>
      </c>
      <c r="U3" s="38">
        <f t="shared" si="2"/>
        <v>0</v>
      </c>
      <c r="X3" s="79">
        <f>MAX($U$18)</f>
        <v>4995434.7</v>
      </c>
    </row>
    <row r="4" spans="1:30" x14ac:dyDescent="0.2">
      <c r="A4" s="3" t="s">
        <v>35</v>
      </c>
      <c r="B4" s="32" t="s">
        <v>34</v>
      </c>
      <c r="C4" s="3">
        <v>78.599999999999994</v>
      </c>
      <c r="D4" s="3">
        <v>12.15</v>
      </c>
      <c r="E4" s="69">
        <v>4.9000000000000004</v>
      </c>
      <c r="F4" s="41">
        <v>0</v>
      </c>
      <c r="G4" s="41">
        <v>0</v>
      </c>
      <c r="H4" s="41">
        <v>0</v>
      </c>
      <c r="I4" s="44">
        <f>$R4</f>
        <v>0</v>
      </c>
      <c r="J4" s="44">
        <f t="shared" si="0"/>
        <v>0</v>
      </c>
      <c r="K4" s="44">
        <f t="shared" si="0"/>
        <v>0</v>
      </c>
      <c r="L4" s="44">
        <f t="shared" si="0"/>
        <v>0</v>
      </c>
      <c r="M4" s="44">
        <f t="shared" si="0"/>
        <v>0</v>
      </c>
      <c r="N4" s="44">
        <f t="shared" si="0"/>
        <v>0</v>
      </c>
      <c r="O4" s="41">
        <v>0</v>
      </c>
      <c r="P4" s="41">
        <v>0</v>
      </c>
      <c r="Q4" s="41">
        <v>0</v>
      </c>
      <c r="R4" s="42">
        <v>0</v>
      </c>
      <c r="S4">
        <f t="shared" si="1"/>
        <v>0</v>
      </c>
      <c r="T4" s="1">
        <f t="shared" si="3"/>
        <v>0</v>
      </c>
      <c r="U4" s="38">
        <f t="shared" si="2"/>
        <v>0</v>
      </c>
      <c r="X4" s="53">
        <f>COUNT($R$2:$R$15)</f>
        <v>14</v>
      </c>
    </row>
    <row r="5" spans="1:30" x14ac:dyDescent="0.2">
      <c r="A5" s="3" t="s">
        <v>38</v>
      </c>
      <c r="B5" s="32" t="s">
        <v>37</v>
      </c>
      <c r="C5" s="3">
        <v>39.29</v>
      </c>
      <c r="D5" s="3">
        <v>12.2</v>
      </c>
      <c r="E5" s="69">
        <v>2.4</v>
      </c>
      <c r="F5" s="41">
        <v>0</v>
      </c>
      <c r="G5" s="41">
        <v>0</v>
      </c>
      <c r="H5" s="41">
        <v>0</v>
      </c>
      <c r="I5" s="43">
        <f>$R5</f>
        <v>0</v>
      </c>
      <c r="J5" s="43">
        <f t="shared" si="0"/>
        <v>0</v>
      </c>
      <c r="K5" s="43">
        <f t="shared" si="0"/>
        <v>0</v>
      </c>
      <c r="L5" s="43">
        <f t="shared" si="0"/>
        <v>0</v>
      </c>
      <c r="M5" s="43">
        <f t="shared" si="0"/>
        <v>0</v>
      </c>
      <c r="N5" s="43">
        <f t="shared" si="0"/>
        <v>0</v>
      </c>
      <c r="O5" s="43">
        <f t="shared" si="0"/>
        <v>0</v>
      </c>
      <c r="P5" s="41">
        <v>0</v>
      </c>
      <c r="Q5" s="41">
        <v>0</v>
      </c>
      <c r="R5" s="42">
        <v>0</v>
      </c>
      <c r="S5">
        <f t="shared" si="1"/>
        <v>0</v>
      </c>
      <c r="T5" s="1">
        <f t="shared" si="3"/>
        <v>0</v>
      </c>
      <c r="U5" s="38">
        <f t="shared" si="2"/>
        <v>0</v>
      </c>
      <c r="X5" s="53" t="b">
        <f t="array" ref="X5">$F$16:$Q$16&lt;=$A$19</f>
        <v>1</v>
      </c>
      <c r="AD5" s="73"/>
    </row>
    <row r="6" spans="1:30" x14ac:dyDescent="0.2">
      <c r="A6" s="3" t="s">
        <v>41</v>
      </c>
      <c r="B6" s="32" t="s">
        <v>40</v>
      </c>
      <c r="C6" s="3">
        <v>625</v>
      </c>
      <c r="D6" s="3">
        <v>10.3</v>
      </c>
      <c r="E6" s="69">
        <v>2.4</v>
      </c>
      <c r="F6" s="41">
        <v>0</v>
      </c>
      <c r="G6" s="41">
        <v>0</v>
      </c>
      <c r="H6" s="41">
        <v>0</v>
      </c>
      <c r="I6" s="44">
        <f>$R6</f>
        <v>0</v>
      </c>
      <c r="J6" s="44">
        <f t="shared" si="0"/>
        <v>0</v>
      </c>
      <c r="K6" s="44">
        <f t="shared" si="0"/>
        <v>0</v>
      </c>
      <c r="L6" s="44">
        <f t="shared" si="0"/>
        <v>0</v>
      </c>
      <c r="M6" s="44">
        <f t="shared" si="0"/>
        <v>0</v>
      </c>
      <c r="N6" s="44">
        <f t="shared" si="0"/>
        <v>0</v>
      </c>
      <c r="O6" s="44">
        <f t="shared" si="0"/>
        <v>0</v>
      </c>
      <c r="P6" s="41">
        <v>0</v>
      </c>
      <c r="Q6" s="41">
        <v>0</v>
      </c>
      <c r="R6" s="42">
        <v>0</v>
      </c>
      <c r="S6">
        <f t="shared" si="1"/>
        <v>0</v>
      </c>
      <c r="T6" s="1">
        <f t="shared" si="3"/>
        <v>0</v>
      </c>
      <c r="U6" s="38">
        <f t="shared" si="2"/>
        <v>0</v>
      </c>
      <c r="X6" s="53" t="b">
        <f t="array" ref="X6">$R$2:$R$15=INT($R$2:$R$15)</f>
        <v>1</v>
      </c>
    </row>
    <row r="7" spans="1:30" x14ac:dyDescent="0.2">
      <c r="A7" s="3" t="s">
        <v>42</v>
      </c>
      <c r="B7" s="32" t="s">
        <v>43</v>
      </c>
      <c r="C7" s="3">
        <v>42</v>
      </c>
      <c r="D7" s="3">
        <v>9.08</v>
      </c>
      <c r="E7" s="69">
        <v>2.7</v>
      </c>
      <c r="F7" s="41">
        <v>0</v>
      </c>
      <c r="G7" s="41">
        <v>0</v>
      </c>
      <c r="H7" s="41">
        <v>0</v>
      </c>
      <c r="I7" s="43">
        <f t="shared" ref="I7:I8" si="4">$R7</f>
        <v>0</v>
      </c>
      <c r="J7" s="43">
        <f t="shared" si="0"/>
        <v>0</v>
      </c>
      <c r="K7" s="43">
        <f t="shared" si="0"/>
        <v>0</v>
      </c>
      <c r="L7" s="43">
        <f t="shared" si="0"/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2">
        <v>0</v>
      </c>
      <c r="S7">
        <f t="shared" si="1"/>
        <v>0</v>
      </c>
      <c r="T7" s="1">
        <f t="shared" si="3"/>
        <v>0</v>
      </c>
      <c r="U7" s="38">
        <f t="shared" si="2"/>
        <v>0</v>
      </c>
      <c r="X7" s="53" t="b">
        <f t="array" ref="X7">$R$2:$R$15&gt;=0</f>
        <v>1</v>
      </c>
    </row>
    <row r="8" spans="1:30" x14ac:dyDescent="0.2">
      <c r="A8" s="3" t="s">
        <v>44</v>
      </c>
      <c r="B8" s="32" t="s">
        <v>45</v>
      </c>
      <c r="C8" s="3">
        <v>42</v>
      </c>
      <c r="D8" s="3">
        <v>9.08</v>
      </c>
      <c r="E8" s="69">
        <v>3.1</v>
      </c>
      <c r="F8" s="45">
        <f>$R8</f>
        <v>0</v>
      </c>
      <c r="G8" s="45">
        <f t="shared" ref="G8:H8" si="5">$R8</f>
        <v>0</v>
      </c>
      <c r="H8" s="45">
        <f t="shared" si="5"/>
        <v>0</v>
      </c>
      <c r="I8" s="45">
        <f t="shared" si="4"/>
        <v>0</v>
      </c>
      <c r="J8" s="45">
        <f t="shared" si="0"/>
        <v>0</v>
      </c>
      <c r="K8" s="45">
        <f t="shared" si="0"/>
        <v>0</v>
      </c>
      <c r="L8" s="45">
        <f t="shared" si="0"/>
        <v>0</v>
      </c>
      <c r="M8" s="41">
        <v>0</v>
      </c>
      <c r="N8" s="41">
        <v>0</v>
      </c>
      <c r="O8" s="45">
        <f t="shared" si="0"/>
        <v>0</v>
      </c>
      <c r="P8" s="45">
        <f t="shared" si="0"/>
        <v>0</v>
      </c>
      <c r="Q8" s="45">
        <f t="shared" si="0"/>
        <v>0</v>
      </c>
      <c r="R8" s="42">
        <v>0</v>
      </c>
      <c r="S8">
        <f t="shared" si="1"/>
        <v>0</v>
      </c>
      <c r="T8" s="1">
        <f t="shared" si="3"/>
        <v>0</v>
      </c>
      <c r="U8" s="38">
        <f t="shared" si="2"/>
        <v>0</v>
      </c>
      <c r="X8" s="53">
        <f>{32767,32767,0.000001,0.01,TRUE,FALSE,TRUE,1,1,1,0.0001,TRUE}</f>
        <v>32767</v>
      </c>
    </row>
    <row r="9" spans="1:30" x14ac:dyDescent="0.2">
      <c r="A9" s="3" t="s">
        <v>48</v>
      </c>
      <c r="B9" s="32" t="s">
        <v>47</v>
      </c>
      <c r="C9" s="3">
        <v>120</v>
      </c>
      <c r="D9" s="3">
        <v>15.8</v>
      </c>
      <c r="E9" s="69">
        <v>2.2000000000000002</v>
      </c>
      <c r="F9" s="41">
        <v>0</v>
      </c>
      <c r="G9" s="41">
        <v>0</v>
      </c>
      <c r="H9" s="41">
        <v>0</v>
      </c>
      <c r="I9" s="41">
        <v>0</v>
      </c>
      <c r="J9" s="43">
        <f t="shared" si="0"/>
        <v>0</v>
      </c>
      <c r="K9" s="43">
        <f t="shared" si="0"/>
        <v>0</v>
      </c>
      <c r="L9" s="43">
        <f t="shared" si="0"/>
        <v>0</v>
      </c>
      <c r="M9" s="43">
        <f t="shared" si="0"/>
        <v>0</v>
      </c>
      <c r="N9" s="43">
        <f t="shared" si="0"/>
        <v>0</v>
      </c>
      <c r="O9" s="41">
        <v>0</v>
      </c>
      <c r="P9" s="41">
        <v>0</v>
      </c>
      <c r="Q9" s="41">
        <v>0</v>
      </c>
      <c r="R9" s="42">
        <v>0</v>
      </c>
      <c r="S9">
        <f t="shared" si="1"/>
        <v>0</v>
      </c>
      <c r="T9" s="1">
        <f t="shared" si="3"/>
        <v>0</v>
      </c>
      <c r="U9" s="38">
        <f t="shared" si="2"/>
        <v>0</v>
      </c>
      <c r="X9" s="53">
        <f>{0,0,1,100,0,FALSE,TRUE,0.075,0,0,FALSE,30}</f>
        <v>0</v>
      </c>
    </row>
    <row r="10" spans="1:30" x14ac:dyDescent="0.2">
      <c r="A10" s="3" t="s">
        <v>51</v>
      </c>
      <c r="B10" s="32" t="s">
        <v>50</v>
      </c>
      <c r="C10" s="3">
        <v>200</v>
      </c>
      <c r="D10" s="3">
        <v>11.4</v>
      </c>
      <c r="E10" s="69">
        <v>2.8</v>
      </c>
      <c r="F10" s="41">
        <v>0</v>
      </c>
      <c r="G10" s="41">
        <v>0</v>
      </c>
      <c r="H10" s="41">
        <v>0</v>
      </c>
      <c r="I10" s="45">
        <f t="shared" si="0"/>
        <v>0</v>
      </c>
      <c r="J10" s="45">
        <f t="shared" si="0"/>
        <v>0</v>
      </c>
      <c r="K10" s="45">
        <f t="shared" si="0"/>
        <v>0</v>
      </c>
      <c r="L10" s="45">
        <f t="shared" si="0"/>
        <v>0</v>
      </c>
      <c r="M10" s="45">
        <f t="shared" si="0"/>
        <v>0</v>
      </c>
      <c r="N10" s="45">
        <f t="shared" si="0"/>
        <v>0</v>
      </c>
      <c r="O10" s="41">
        <v>0</v>
      </c>
      <c r="P10" s="41">
        <v>0</v>
      </c>
      <c r="Q10" s="41">
        <v>0</v>
      </c>
      <c r="R10" s="42">
        <v>0</v>
      </c>
      <c r="S10">
        <f t="shared" si="1"/>
        <v>0</v>
      </c>
      <c r="T10" s="1">
        <f t="shared" si="3"/>
        <v>0</v>
      </c>
      <c r="U10" s="38">
        <f t="shared" si="2"/>
        <v>0</v>
      </c>
    </row>
    <row r="11" spans="1:30" x14ac:dyDescent="0.2">
      <c r="A11" s="3" t="s">
        <v>54</v>
      </c>
      <c r="B11" s="32" t="s">
        <v>53</v>
      </c>
      <c r="C11" s="3">
        <v>641</v>
      </c>
      <c r="D11" s="3">
        <v>18.3</v>
      </c>
      <c r="E11" s="69">
        <v>3</v>
      </c>
      <c r="F11" s="41">
        <v>0</v>
      </c>
      <c r="G11" s="41">
        <v>0</v>
      </c>
      <c r="H11" s="43">
        <f t="shared" ref="H11:M11" si="6">$R11</f>
        <v>430</v>
      </c>
      <c r="I11" s="43">
        <f t="shared" si="6"/>
        <v>430</v>
      </c>
      <c r="J11" s="43">
        <f t="shared" si="6"/>
        <v>430</v>
      </c>
      <c r="K11" s="43">
        <f t="shared" si="6"/>
        <v>430</v>
      </c>
      <c r="L11" s="43">
        <f t="shared" si="6"/>
        <v>430</v>
      </c>
      <c r="M11" s="43">
        <f t="shared" si="6"/>
        <v>430</v>
      </c>
      <c r="N11" s="41">
        <v>0</v>
      </c>
      <c r="O11" s="41">
        <v>0</v>
      </c>
      <c r="P11" s="41">
        <v>0</v>
      </c>
      <c r="Q11" s="41">
        <v>0</v>
      </c>
      <c r="R11" s="42">
        <v>430</v>
      </c>
      <c r="S11">
        <f t="shared" si="1"/>
        <v>275630</v>
      </c>
      <c r="T11" s="1">
        <f t="shared" ref="T11" si="7">R11*E11</f>
        <v>1290</v>
      </c>
      <c r="U11" s="38">
        <f t="shared" si="2"/>
        <v>5044029</v>
      </c>
    </row>
    <row r="12" spans="1:30" x14ac:dyDescent="0.2">
      <c r="A12" s="3" t="s">
        <v>55</v>
      </c>
      <c r="B12" s="32" t="s">
        <v>56</v>
      </c>
      <c r="C12" s="3">
        <v>175</v>
      </c>
      <c r="D12" s="3">
        <v>16.100000000000001</v>
      </c>
      <c r="E12" s="69">
        <v>2.7</v>
      </c>
      <c r="F12" s="41">
        <v>0</v>
      </c>
      <c r="G12" s="41">
        <v>0</v>
      </c>
      <c r="H12" s="41">
        <v>0</v>
      </c>
      <c r="I12" s="41">
        <v>0</v>
      </c>
      <c r="J12" s="45">
        <f t="shared" si="0"/>
        <v>0</v>
      </c>
      <c r="K12" s="45">
        <f t="shared" si="0"/>
        <v>0</v>
      </c>
      <c r="L12" s="45">
        <f t="shared" si="0"/>
        <v>0</v>
      </c>
      <c r="M12" s="45">
        <f t="shared" si="0"/>
        <v>0</v>
      </c>
      <c r="N12" s="45">
        <f t="shared" si="0"/>
        <v>0</v>
      </c>
      <c r="O12" s="41">
        <v>0</v>
      </c>
      <c r="P12" s="41">
        <v>0</v>
      </c>
      <c r="Q12" s="41">
        <v>0</v>
      </c>
      <c r="R12" s="42">
        <v>0</v>
      </c>
      <c r="S12">
        <f t="shared" si="1"/>
        <v>0</v>
      </c>
      <c r="T12" s="1">
        <f t="shared" si="3"/>
        <v>0</v>
      </c>
      <c r="U12" s="38">
        <f t="shared" si="2"/>
        <v>0</v>
      </c>
    </row>
    <row r="13" spans="1:30" x14ac:dyDescent="0.2">
      <c r="A13" s="3" t="s">
        <v>59</v>
      </c>
      <c r="B13" s="32" t="s">
        <v>58</v>
      </c>
      <c r="C13" s="3">
        <v>31</v>
      </c>
      <c r="D13" s="3">
        <v>15.4</v>
      </c>
      <c r="E13" s="69">
        <v>1.5</v>
      </c>
      <c r="F13" s="41">
        <v>0</v>
      </c>
      <c r="G13" s="41">
        <v>0</v>
      </c>
      <c r="H13" s="41">
        <v>0</v>
      </c>
      <c r="I13" s="43">
        <f t="shared" ref="I13" si="8">$R13</f>
        <v>0</v>
      </c>
      <c r="J13" s="43">
        <f t="shared" si="0"/>
        <v>0</v>
      </c>
      <c r="K13" s="43">
        <f t="shared" si="0"/>
        <v>0</v>
      </c>
      <c r="L13" s="41">
        <v>0</v>
      </c>
      <c r="M13" s="46">
        <v>0</v>
      </c>
      <c r="N13" s="46">
        <v>0</v>
      </c>
      <c r="O13" s="46">
        <v>0</v>
      </c>
      <c r="P13" s="41">
        <v>0</v>
      </c>
      <c r="Q13" s="41">
        <v>0</v>
      </c>
      <c r="R13" s="42">
        <v>0</v>
      </c>
      <c r="S13">
        <f t="shared" si="1"/>
        <v>0</v>
      </c>
      <c r="T13" s="1">
        <f t="shared" si="3"/>
        <v>0</v>
      </c>
      <c r="U13" s="38">
        <f t="shared" si="2"/>
        <v>0</v>
      </c>
    </row>
    <row r="14" spans="1:30" x14ac:dyDescent="0.2">
      <c r="A14" s="3" t="s">
        <v>62</v>
      </c>
      <c r="B14" s="32" t="s">
        <v>61</v>
      </c>
      <c r="C14" s="3">
        <v>31</v>
      </c>
      <c r="D14" s="3">
        <v>15.4</v>
      </c>
      <c r="E14" s="69">
        <v>2.2000000000000002</v>
      </c>
      <c r="F14" s="41">
        <v>0</v>
      </c>
      <c r="G14" s="41">
        <v>0</v>
      </c>
      <c r="H14" s="41">
        <v>0</v>
      </c>
      <c r="I14" s="46">
        <v>0</v>
      </c>
      <c r="J14" s="46">
        <v>0</v>
      </c>
      <c r="K14" s="46">
        <v>0</v>
      </c>
      <c r="L14" s="41">
        <v>0</v>
      </c>
      <c r="M14" s="45">
        <f t="shared" si="0"/>
        <v>0</v>
      </c>
      <c r="N14" s="45">
        <f t="shared" si="0"/>
        <v>0</v>
      </c>
      <c r="O14" s="45">
        <f t="shared" si="0"/>
        <v>0</v>
      </c>
      <c r="P14" s="41">
        <v>0</v>
      </c>
      <c r="Q14" s="41">
        <v>0</v>
      </c>
      <c r="R14" s="42">
        <v>0</v>
      </c>
      <c r="S14">
        <f t="shared" si="1"/>
        <v>0</v>
      </c>
      <c r="T14" s="1">
        <f t="shared" si="3"/>
        <v>0</v>
      </c>
      <c r="U14" s="38">
        <f t="shared" si="2"/>
        <v>0</v>
      </c>
    </row>
    <row r="15" spans="1:30" x14ac:dyDescent="0.2">
      <c r="A15" s="3" t="s">
        <v>63</v>
      </c>
      <c r="B15" s="32" t="s">
        <v>64</v>
      </c>
      <c r="C15" s="3">
        <v>15.46</v>
      </c>
      <c r="D15" s="3">
        <v>5.178E-2</v>
      </c>
      <c r="E15" s="69">
        <v>3.1</v>
      </c>
      <c r="F15" s="41">
        <v>0</v>
      </c>
      <c r="G15" s="41">
        <v>0</v>
      </c>
      <c r="H15" s="43">
        <f t="shared" ref="H15:L15" si="9">$R15</f>
        <v>0</v>
      </c>
      <c r="I15" s="43">
        <f t="shared" si="9"/>
        <v>0</v>
      </c>
      <c r="J15" s="43">
        <f t="shared" si="9"/>
        <v>0</v>
      </c>
      <c r="K15" s="43">
        <f t="shared" si="9"/>
        <v>0</v>
      </c>
      <c r="L15" s="43">
        <f t="shared" si="9"/>
        <v>0</v>
      </c>
      <c r="M15" s="43">
        <f t="shared" si="0"/>
        <v>0</v>
      </c>
      <c r="N15" s="46">
        <v>0</v>
      </c>
      <c r="O15" s="46">
        <v>0</v>
      </c>
      <c r="P15" s="41">
        <v>0</v>
      </c>
      <c r="Q15" s="41">
        <v>0</v>
      </c>
      <c r="R15" s="42">
        <v>0</v>
      </c>
      <c r="S15">
        <f t="shared" si="1"/>
        <v>0</v>
      </c>
      <c r="T15" s="1">
        <f t="shared" si="3"/>
        <v>0</v>
      </c>
      <c r="U15" s="38">
        <f t="shared" si="2"/>
        <v>0</v>
      </c>
    </row>
    <row r="16" spans="1:30" x14ac:dyDescent="0.2">
      <c r="E16" s="68" t="s">
        <v>162</v>
      </c>
      <c r="F16" s="47">
        <f>SUM(F2:F15)</f>
        <v>0</v>
      </c>
      <c r="G16" s="47">
        <f t="shared" ref="G16:Q16" si="10">SUM(G2:G15)</f>
        <v>0</v>
      </c>
      <c r="H16" s="47">
        <f t="shared" si="10"/>
        <v>430</v>
      </c>
      <c r="I16" s="47">
        <f t="shared" si="10"/>
        <v>430</v>
      </c>
      <c r="J16" s="47">
        <f t="shared" si="10"/>
        <v>430</v>
      </c>
      <c r="K16" s="47">
        <f t="shared" si="10"/>
        <v>430</v>
      </c>
      <c r="L16" s="47">
        <f t="shared" si="10"/>
        <v>430</v>
      </c>
      <c r="M16" s="47">
        <f t="shared" si="10"/>
        <v>430</v>
      </c>
      <c r="N16" s="47">
        <f t="shared" si="10"/>
        <v>0</v>
      </c>
      <c r="O16" s="47">
        <f t="shared" si="10"/>
        <v>0</v>
      </c>
      <c r="P16" s="47">
        <f t="shared" si="10"/>
        <v>0</v>
      </c>
      <c r="Q16" s="47">
        <f t="shared" si="10"/>
        <v>0</v>
      </c>
      <c r="R16" s="48"/>
      <c r="T16" s="67">
        <f>SUM(T2:T15)</f>
        <v>1290</v>
      </c>
      <c r="U16" s="39">
        <f>SUM(U2:U15)</f>
        <v>5044029</v>
      </c>
      <c r="V16" s="39" t="s">
        <v>69</v>
      </c>
    </row>
    <row r="17" spans="1:22" x14ac:dyDescent="0.2">
      <c r="E17" s="50"/>
      <c r="U17" s="74">
        <f>T16*A22</f>
        <v>48594.3</v>
      </c>
      <c r="V17" s="74" t="s">
        <v>163</v>
      </c>
    </row>
    <row r="18" spans="1:22" x14ac:dyDescent="0.2">
      <c r="A18" s="36" t="s">
        <v>65</v>
      </c>
      <c r="E18" s="50"/>
      <c r="U18" s="66">
        <f>U16-U17</f>
        <v>4995434.7</v>
      </c>
      <c r="V18" s="66" t="s">
        <v>164</v>
      </c>
    </row>
    <row r="19" spans="1:22" x14ac:dyDescent="0.2">
      <c r="A19" s="37">
        <v>430</v>
      </c>
      <c r="B19" t="s">
        <v>165</v>
      </c>
      <c r="E19" s="50"/>
      <c r="T19" s="1"/>
    </row>
    <row r="21" spans="1:22" x14ac:dyDescent="0.2">
      <c r="A21" s="51" t="s">
        <v>166</v>
      </c>
    </row>
    <row r="22" spans="1:22" x14ac:dyDescent="0.2">
      <c r="A22" s="71">
        <v>37.67</v>
      </c>
      <c r="B22" t="s">
        <v>167</v>
      </c>
      <c r="E22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66F2-07E4-5A41-BB7D-9E97119A8C1E}">
  <dimension ref="A1:G65"/>
  <sheetViews>
    <sheetView showGridLines="0" topLeftCell="A11" workbookViewId="0">
      <selection activeCell="A2" sqref="A2"/>
    </sheetView>
  </sheetViews>
  <sheetFormatPr baseColWidth="10" defaultRowHeight="16" x14ac:dyDescent="0.2"/>
  <cols>
    <col min="1" max="1" width="2.33203125" customWidth="1"/>
    <col min="2" max="2" width="17.83203125" bestFit="1" customWidth="1"/>
    <col min="3" max="3" width="18.1640625" bestFit="1" customWidth="1"/>
    <col min="4" max="5" width="14" bestFit="1" customWidth="1"/>
    <col min="6" max="6" width="10.5" bestFit="1" customWidth="1"/>
    <col min="7" max="7" width="5.6640625" bestFit="1" customWidth="1"/>
  </cols>
  <sheetData>
    <row r="1" spans="1:5" x14ac:dyDescent="0.2">
      <c r="A1" s="70" t="s">
        <v>71</v>
      </c>
    </row>
    <row r="2" spans="1:5" x14ac:dyDescent="0.2">
      <c r="A2" s="70" t="s">
        <v>72</v>
      </c>
    </row>
    <row r="3" spans="1:5" x14ac:dyDescent="0.2">
      <c r="A3" s="70" t="s">
        <v>191</v>
      </c>
    </row>
    <row r="4" spans="1:5" x14ac:dyDescent="0.2">
      <c r="A4" s="70" t="s">
        <v>73</v>
      </c>
    </row>
    <row r="5" spans="1:5" x14ac:dyDescent="0.2">
      <c r="A5" s="70" t="s">
        <v>74</v>
      </c>
    </row>
    <row r="6" spans="1:5" x14ac:dyDescent="0.2">
      <c r="A6" s="70"/>
      <c r="B6" t="s">
        <v>75</v>
      </c>
    </row>
    <row r="7" spans="1:5" x14ac:dyDescent="0.2">
      <c r="A7" s="70"/>
      <c r="B7" t="s">
        <v>192</v>
      </c>
    </row>
    <row r="8" spans="1:5" x14ac:dyDescent="0.2">
      <c r="A8" s="70"/>
      <c r="B8" t="s">
        <v>168</v>
      </c>
    </row>
    <row r="9" spans="1:5" x14ac:dyDescent="0.2">
      <c r="A9" s="70" t="s">
        <v>76</v>
      </c>
    </row>
    <row r="10" spans="1:5" x14ac:dyDescent="0.2">
      <c r="B10" t="s">
        <v>77</v>
      </c>
    </row>
    <row r="11" spans="1:5" x14ac:dyDescent="0.2">
      <c r="B11" t="s">
        <v>78</v>
      </c>
    </row>
    <row r="14" spans="1:5" ht="17" thickBot="1" x14ac:dyDescent="0.25">
      <c r="A14" t="s">
        <v>79</v>
      </c>
    </row>
    <row r="15" spans="1:5" ht="17" thickBot="1" x14ac:dyDescent="0.25">
      <c r="B15" s="76" t="s">
        <v>80</v>
      </c>
      <c r="C15" s="76" t="s">
        <v>81</v>
      </c>
      <c r="D15" s="76" t="s">
        <v>82</v>
      </c>
      <c r="E15" s="76" t="s">
        <v>83</v>
      </c>
    </row>
    <row r="16" spans="1:5" ht="17" thickBot="1" x14ac:dyDescent="0.25">
      <c r="B16" s="75" t="s">
        <v>169</v>
      </c>
      <c r="C16" s="75" t="s">
        <v>84</v>
      </c>
      <c r="D16" s="78">
        <v>3674350.13</v>
      </c>
      <c r="E16" s="78">
        <v>4995434.7</v>
      </c>
    </row>
    <row r="19" spans="1:6" ht="17" thickBot="1" x14ac:dyDescent="0.25">
      <c r="A19" t="s">
        <v>85</v>
      </c>
    </row>
    <row r="20" spans="1:6" ht="17" thickBot="1" x14ac:dyDescent="0.25">
      <c r="B20" s="76" t="s">
        <v>80</v>
      </c>
      <c r="C20" s="76" t="s">
        <v>81</v>
      </c>
      <c r="D20" s="76" t="s">
        <v>82</v>
      </c>
      <c r="E20" s="76" t="s">
        <v>83</v>
      </c>
      <c r="F20" s="76" t="s">
        <v>86</v>
      </c>
    </row>
    <row r="21" spans="1:6" x14ac:dyDescent="0.2">
      <c r="B21" s="77" t="s">
        <v>87</v>
      </c>
      <c r="C21" s="77" t="s">
        <v>170</v>
      </c>
      <c r="D21" s="77">
        <v>0</v>
      </c>
      <c r="E21" s="77">
        <v>0</v>
      </c>
      <c r="F21" s="77" t="s">
        <v>86</v>
      </c>
    </row>
    <row r="22" spans="1:6" x14ac:dyDescent="0.2">
      <c r="B22" s="77" t="s">
        <v>88</v>
      </c>
      <c r="C22" s="77" t="s">
        <v>171</v>
      </c>
      <c r="D22" s="77">
        <v>0</v>
      </c>
      <c r="E22" s="77">
        <v>0</v>
      </c>
      <c r="F22" s="77" t="s">
        <v>86</v>
      </c>
    </row>
    <row r="23" spans="1:6" x14ac:dyDescent="0.2">
      <c r="B23" s="77" t="s">
        <v>89</v>
      </c>
      <c r="C23" s="77" t="s">
        <v>172</v>
      </c>
      <c r="D23" s="77">
        <v>0</v>
      </c>
      <c r="E23" s="77">
        <v>0</v>
      </c>
      <c r="F23" s="77" t="s">
        <v>86</v>
      </c>
    </row>
    <row r="24" spans="1:6" x14ac:dyDescent="0.2">
      <c r="B24" s="77" t="s">
        <v>90</v>
      </c>
      <c r="C24" s="77" t="s">
        <v>173</v>
      </c>
      <c r="D24" s="77">
        <v>0</v>
      </c>
      <c r="E24" s="77">
        <v>0</v>
      </c>
      <c r="F24" s="77" t="s">
        <v>86</v>
      </c>
    </row>
    <row r="25" spans="1:6" x14ac:dyDescent="0.2">
      <c r="B25" s="77" t="s">
        <v>91</v>
      </c>
      <c r="C25" s="77" t="s">
        <v>174</v>
      </c>
      <c r="D25" s="77">
        <v>200</v>
      </c>
      <c r="E25" s="77">
        <v>0</v>
      </c>
      <c r="F25" s="77" t="s">
        <v>86</v>
      </c>
    </row>
    <row r="26" spans="1:6" x14ac:dyDescent="0.2">
      <c r="B26" s="77" t="s">
        <v>92</v>
      </c>
      <c r="C26" s="77" t="s">
        <v>175</v>
      </c>
      <c r="D26" s="77">
        <v>0</v>
      </c>
      <c r="E26" s="77">
        <v>0</v>
      </c>
      <c r="F26" s="77" t="s">
        <v>86</v>
      </c>
    </row>
    <row r="27" spans="1:6" x14ac:dyDescent="0.2">
      <c r="B27" s="77" t="s">
        <v>93</v>
      </c>
      <c r="C27" s="77" t="s">
        <v>176</v>
      </c>
      <c r="D27" s="77">
        <v>0</v>
      </c>
      <c r="E27" s="77">
        <v>0</v>
      </c>
      <c r="F27" s="77" t="s">
        <v>86</v>
      </c>
    </row>
    <row r="28" spans="1:6" x14ac:dyDescent="0.2">
      <c r="B28" s="77" t="s">
        <v>94</v>
      </c>
      <c r="C28" s="77" t="s">
        <v>177</v>
      </c>
      <c r="D28" s="77">
        <v>0</v>
      </c>
      <c r="E28" s="77">
        <v>0</v>
      </c>
      <c r="F28" s="77" t="s">
        <v>86</v>
      </c>
    </row>
    <row r="29" spans="1:6" x14ac:dyDescent="0.2">
      <c r="B29" s="77" t="s">
        <v>95</v>
      </c>
      <c r="C29" s="77" t="s">
        <v>178</v>
      </c>
      <c r="D29" s="77">
        <v>0</v>
      </c>
      <c r="E29" s="77">
        <v>0</v>
      </c>
      <c r="F29" s="77" t="s">
        <v>86</v>
      </c>
    </row>
    <row r="30" spans="1:6" x14ac:dyDescent="0.2">
      <c r="B30" s="77" t="s">
        <v>96</v>
      </c>
      <c r="C30" s="77" t="s">
        <v>179</v>
      </c>
      <c r="D30" s="77">
        <v>200</v>
      </c>
      <c r="E30" s="77">
        <v>430</v>
      </c>
      <c r="F30" s="77" t="s">
        <v>86</v>
      </c>
    </row>
    <row r="31" spans="1:6" x14ac:dyDescent="0.2">
      <c r="B31" s="77" t="s">
        <v>97</v>
      </c>
      <c r="C31" s="77" t="s">
        <v>180</v>
      </c>
      <c r="D31" s="77">
        <v>30</v>
      </c>
      <c r="E31" s="77">
        <v>0</v>
      </c>
      <c r="F31" s="77" t="s">
        <v>86</v>
      </c>
    </row>
    <row r="32" spans="1:6" x14ac:dyDescent="0.2">
      <c r="B32" s="77" t="s">
        <v>98</v>
      </c>
      <c r="C32" s="77" t="s">
        <v>181</v>
      </c>
      <c r="D32" s="77">
        <v>0</v>
      </c>
      <c r="E32" s="77">
        <v>0</v>
      </c>
      <c r="F32" s="77" t="s">
        <v>86</v>
      </c>
    </row>
    <row r="33" spans="1:7" x14ac:dyDescent="0.2">
      <c r="B33" s="77" t="s">
        <v>99</v>
      </c>
      <c r="C33" s="77" t="s">
        <v>182</v>
      </c>
      <c r="D33" s="77">
        <v>0</v>
      </c>
      <c r="E33" s="77">
        <v>0</v>
      </c>
      <c r="F33" s="77" t="s">
        <v>86</v>
      </c>
    </row>
    <row r="34" spans="1:7" ht="17" thickBot="1" x14ac:dyDescent="0.25">
      <c r="B34" s="75" t="s">
        <v>100</v>
      </c>
      <c r="C34" s="75" t="s">
        <v>183</v>
      </c>
      <c r="D34" s="75">
        <v>0</v>
      </c>
      <c r="E34" s="75">
        <v>0</v>
      </c>
      <c r="F34" s="75" t="s">
        <v>86</v>
      </c>
    </row>
    <row r="37" spans="1:7" ht="17" thickBot="1" x14ac:dyDescent="0.25">
      <c r="A37" t="s">
        <v>101</v>
      </c>
    </row>
    <row r="38" spans="1:7" ht="17" thickBot="1" x14ac:dyDescent="0.25">
      <c r="B38" s="76" t="s">
        <v>80</v>
      </c>
      <c r="C38" s="76" t="s">
        <v>81</v>
      </c>
      <c r="D38" s="76" t="s">
        <v>102</v>
      </c>
      <c r="E38" s="76" t="s">
        <v>103</v>
      </c>
      <c r="F38" s="76" t="s">
        <v>104</v>
      </c>
      <c r="G38" s="76" t="s">
        <v>105</v>
      </c>
    </row>
    <row r="39" spans="1:7" x14ac:dyDescent="0.2">
      <c r="B39" s="77" t="s">
        <v>106</v>
      </c>
      <c r="C39" s="77" t="s">
        <v>107</v>
      </c>
      <c r="D39" s="77">
        <v>0</v>
      </c>
      <c r="E39" s="77" t="s">
        <v>108</v>
      </c>
      <c r="F39" s="77" t="s">
        <v>109</v>
      </c>
      <c r="G39" s="77">
        <v>430</v>
      </c>
    </row>
    <row r="40" spans="1:7" x14ac:dyDescent="0.2">
      <c r="B40" s="77" t="s">
        <v>110</v>
      </c>
      <c r="C40" s="77" t="s">
        <v>111</v>
      </c>
      <c r="D40" s="77">
        <v>0</v>
      </c>
      <c r="E40" s="77" t="s">
        <v>112</v>
      </c>
      <c r="F40" s="77" t="s">
        <v>109</v>
      </c>
      <c r="G40" s="77">
        <v>430</v>
      </c>
    </row>
    <row r="41" spans="1:7" x14ac:dyDescent="0.2">
      <c r="B41" s="77" t="s">
        <v>113</v>
      </c>
      <c r="C41" s="77" t="s">
        <v>114</v>
      </c>
      <c r="D41" s="77">
        <v>430</v>
      </c>
      <c r="E41" s="77" t="s">
        <v>115</v>
      </c>
      <c r="F41" s="77" t="s">
        <v>122</v>
      </c>
      <c r="G41" s="77">
        <v>0</v>
      </c>
    </row>
    <row r="42" spans="1:7" x14ac:dyDescent="0.2">
      <c r="B42" s="77" t="s">
        <v>116</v>
      </c>
      <c r="C42" s="77" t="s">
        <v>117</v>
      </c>
      <c r="D42" s="77">
        <v>430</v>
      </c>
      <c r="E42" s="77" t="s">
        <v>118</v>
      </c>
      <c r="F42" s="77" t="s">
        <v>122</v>
      </c>
      <c r="G42" s="77">
        <v>0</v>
      </c>
    </row>
    <row r="43" spans="1:7" x14ac:dyDescent="0.2">
      <c r="B43" s="77" t="s">
        <v>119</v>
      </c>
      <c r="C43" s="77" t="s">
        <v>120</v>
      </c>
      <c r="D43" s="77">
        <v>430</v>
      </c>
      <c r="E43" s="77" t="s">
        <v>121</v>
      </c>
      <c r="F43" s="77" t="s">
        <v>122</v>
      </c>
      <c r="G43" s="77">
        <v>0</v>
      </c>
    </row>
    <row r="44" spans="1:7" x14ac:dyDescent="0.2">
      <c r="B44" s="77" t="s">
        <v>123</v>
      </c>
      <c r="C44" s="77" t="s">
        <v>124</v>
      </c>
      <c r="D44" s="77">
        <v>430</v>
      </c>
      <c r="E44" s="77" t="s">
        <v>125</v>
      </c>
      <c r="F44" s="77" t="s">
        <v>122</v>
      </c>
      <c r="G44" s="77">
        <v>0</v>
      </c>
    </row>
    <row r="45" spans="1:7" x14ac:dyDescent="0.2">
      <c r="B45" s="77" t="s">
        <v>126</v>
      </c>
      <c r="C45" s="77" t="s">
        <v>127</v>
      </c>
      <c r="D45" s="77">
        <v>430</v>
      </c>
      <c r="E45" s="77" t="s">
        <v>128</v>
      </c>
      <c r="F45" s="77" t="s">
        <v>122</v>
      </c>
      <c r="G45" s="77">
        <v>0</v>
      </c>
    </row>
    <row r="46" spans="1:7" x14ac:dyDescent="0.2">
      <c r="B46" s="77" t="s">
        <v>129</v>
      </c>
      <c r="C46" s="77" t="s">
        <v>130</v>
      </c>
      <c r="D46" s="77">
        <v>430</v>
      </c>
      <c r="E46" s="77" t="s">
        <v>131</v>
      </c>
      <c r="F46" s="77" t="s">
        <v>122</v>
      </c>
      <c r="G46" s="77">
        <v>0</v>
      </c>
    </row>
    <row r="47" spans="1:7" x14ac:dyDescent="0.2">
      <c r="B47" s="77" t="s">
        <v>132</v>
      </c>
      <c r="C47" s="77" t="s">
        <v>133</v>
      </c>
      <c r="D47" s="77">
        <v>0</v>
      </c>
      <c r="E47" s="77" t="s">
        <v>134</v>
      </c>
      <c r="F47" s="77" t="s">
        <v>109</v>
      </c>
      <c r="G47" s="77">
        <v>430</v>
      </c>
    </row>
    <row r="48" spans="1:7" x14ac:dyDescent="0.2">
      <c r="B48" s="77" t="s">
        <v>135</v>
      </c>
      <c r="C48" s="77" t="s">
        <v>136</v>
      </c>
      <c r="D48" s="77">
        <v>0</v>
      </c>
      <c r="E48" s="77" t="s">
        <v>137</v>
      </c>
      <c r="F48" s="77" t="s">
        <v>109</v>
      </c>
      <c r="G48" s="77">
        <v>430</v>
      </c>
    </row>
    <row r="49" spans="2:7" x14ac:dyDescent="0.2">
      <c r="B49" s="77" t="s">
        <v>138</v>
      </c>
      <c r="C49" s="77" t="s">
        <v>139</v>
      </c>
      <c r="D49" s="77">
        <v>0</v>
      </c>
      <c r="E49" s="77" t="s">
        <v>140</v>
      </c>
      <c r="F49" s="77" t="s">
        <v>109</v>
      </c>
      <c r="G49" s="77">
        <v>430</v>
      </c>
    </row>
    <row r="50" spans="2:7" x14ac:dyDescent="0.2">
      <c r="B50" s="77" t="s">
        <v>141</v>
      </c>
      <c r="C50" s="77" t="s">
        <v>142</v>
      </c>
      <c r="D50" s="77">
        <v>0</v>
      </c>
      <c r="E50" s="77" t="s">
        <v>143</v>
      </c>
      <c r="F50" s="77" t="s">
        <v>109</v>
      </c>
      <c r="G50" s="77">
        <v>430</v>
      </c>
    </row>
    <row r="51" spans="2:7" x14ac:dyDescent="0.2">
      <c r="B51" s="77" t="s">
        <v>87</v>
      </c>
      <c r="C51" s="77" t="s">
        <v>170</v>
      </c>
      <c r="D51" s="77">
        <v>0</v>
      </c>
      <c r="E51" s="77" t="s">
        <v>144</v>
      </c>
      <c r="F51" s="77" t="s">
        <v>122</v>
      </c>
      <c r="G51" s="77">
        <v>0</v>
      </c>
    </row>
    <row r="52" spans="2:7" x14ac:dyDescent="0.2">
      <c r="B52" s="77" t="s">
        <v>88</v>
      </c>
      <c r="C52" s="77" t="s">
        <v>171</v>
      </c>
      <c r="D52" s="77">
        <v>0</v>
      </c>
      <c r="E52" s="77" t="s">
        <v>145</v>
      </c>
      <c r="F52" s="77" t="s">
        <v>122</v>
      </c>
      <c r="G52" s="77">
        <v>0</v>
      </c>
    </row>
    <row r="53" spans="2:7" x14ac:dyDescent="0.2">
      <c r="B53" s="77" t="s">
        <v>89</v>
      </c>
      <c r="C53" s="77" t="s">
        <v>172</v>
      </c>
      <c r="D53" s="77">
        <v>0</v>
      </c>
      <c r="E53" s="77" t="s">
        <v>146</v>
      </c>
      <c r="F53" s="77" t="s">
        <v>122</v>
      </c>
      <c r="G53" s="77">
        <v>0</v>
      </c>
    </row>
    <row r="54" spans="2:7" x14ac:dyDescent="0.2">
      <c r="B54" s="77" t="s">
        <v>90</v>
      </c>
      <c r="C54" s="77" t="s">
        <v>173</v>
      </c>
      <c r="D54" s="77">
        <v>0</v>
      </c>
      <c r="E54" s="77" t="s">
        <v>147</v>
      </c>
      <c r="F54" s="77" t="s">
        <v>122</v>
      </c>
      <c r="G54" s="77">
        <v>0</v>
      </c>
    </row>
    <row r="55" spans="2:7" x14ac:dyDescent="0.2">
      <c r="B55" s="77" t="s">
        <v>91</v>
      </c>
      <c r="C55" s="77" t="s">
        <v>174</v>
      </c>
      <c r="D55" s="77">
        <v>0</v>
      </c>
      <c r="E55" s="77" t="s">
        <v>148</v>
      </c>
      <c r="F55" s="77" t="s">
        <v>122</v>
      </c>
      <c r="G55" s="77">
        <v>0</v>
      </c>
    </row>
    <row r="56" spans="2:7" x14ac:dyDescent="0.2">
      <c r="B56" s="77" t="s">
        <v>92</v>
      </c>
      <c r="C56" s="77" t="s">
        <v>175</v>
      </c>
      <c r="D56" s="77">
        <v>0</v>
      </c>
      <c r="E56" s="77" t="s">
        <v>149</v>
      </c>
      <c r="F56" s="77" t="s">
        <v>122</v>
      </c>
      <c r="G56" s="77">
        <v>0</v>
      </c>
    </row>
    <row r="57" spans="2:7" x14ac:dyDescent="0.2">
      <c r="B57" s="77" t="s">
        <v>93</v>
      </c>
      <c r="C57" s="77" t="s">
        <v>176</v>
      </c>
      <c r="D57" s="77">
        <v>0</v>
      </c>
      <c r="E57" s="77" t="s">
        <v>150</v>
      </c>
      <c r="F57" s="77" t="s">
        <v>122</v>
      </c>
      <c r="G57" s="77">
        <v>0</v>
      </c>
    </row>
    <row r="58" spans="2:7" x14ac:dyDescent="0.2">
      <c r="B58" s="77" t="s">
        <v>94</v>
      </c>
      <c r="C58" s="77" t="s">
        <v>177</v>
      </c>
      <c r="D58" s="77">
        <v>0</v>
      </c>
      <c r="E58" s="77" t="s">
        <v>151</v>
      </c>
      <c r="F58" s="77" t="s">
        <v>122</v>
      </c>
      <c r="G58" s="77">
        <v>0</v>
      </c>
    </row>
    <row r="59" spans="2:7" x14ac:dyDescent="0.2">
      <c r="B59" s="77" t="s">
        <v>95</v>
      </c>
      <c r="C59" s="77" t="s">
        <v>178</v>
      </c>
      <c r="D59" s="77">
        <v>0</v>
      </c>
      <c r="E59" s="77" t="s">
        <v>152</v>
      </c>
      <c r="F59" s="77" t="s">
        <v>122</v>
      </c>
      <c r="G59" s="77">
        <v>0</v>
      </c>
    </row>
    <row r="60" spans="2:7" x14ac:dyDescent="0.2">
      <c r="B60" s="77" t="s">
        <v>96</v>
      </c>
      <c r="C60" s="77" t="s">
        <v>179</v>
      </c>
      <c r="D60" s="77">
        <v>430</v>
      </c>
      <c r="E60" s="77" t="s">
        <v>153</v>
      </c>
      <c r="F60" s="77" t="s">
        <v>109</v>
      </c>
      <c r="G60" s="77">
        <v>430</v>
      </c>
    </row>
    <row r="61" spans="2:7" x14ac:dyDescent="0.2">
      <c r="B61" s="77" t="s">
        <v>97</v>
      </c>
      <c r="C61" s="77" t="s">
        <v>180</v>
      </c>
      <c r="D61" s="77">
        <v>0</v>
      </c>
      <c r="E61" s="77" t="s">
        <v>154</v>
      </c>
      <c r="F61" s="77" t="s">
        <v>122</v>
      </c>
      <c r="G61" s="77">
        <v>0</v>
      </c>
    </row>
    <row r="62" spans="2:7" x14ac:dyDescent="0.2">
      <c r="B62" s="77" t="s">
        <v>98</v>
      </c>
      <c r="C62" s="77" t="s">
        <v>181</v>
      </c>
      <c r="D62" s="77">
        <v>0</v>
      </c>
      <c r="E62" s="77" t="s">
        <v>155</v>
      </c>
      <c r="F62" s="77" t="s">
        <v>122</v>
      </c>
      <c r="G62" s="77">
        <v>0</v>
      </c>
    </row>
    <row r="63" spans="2:7" x14ac:dyDescent="0.2">
      <c r="B63" s="77" t="s">
        <v>99</v>
      </c>
      <c r="C63" s="77" t="s">
        <v>182</v>
      </c>
      <c r="D63" s="77">
        <v>0</v>
      </c>
      <c r="E63" s="77" t="s">
        <v>156</v>
      </c>
      <c r="F63" s="77" t="s">
        <v>122</v>
      </c>
      <c r="G63" s="77">
        <v>0</v>
      </c>
    </row>
    <row r="64" spans="2:7" x14ac:dyDescent="0.2">
      <c r="B64" s="77" t="s">
        <v>100</v>
      </c>
      <c r="C64" s="77" t="s">
        <v>183</v>
      </c>
      <c r="D64" s="77">
        <v>0</v>
      </c>
      <c r="E64" s="77" t="s">
        <v>157</v>
      </c>
      <c r="F64" s="77" t="s">
        <v>122</v>
      </c>
      <c r="G64" s="77">
        <v>0</v>
      </c>
    </row>
    <row r="65" spans="2:7" ht="17" thickBot="1" x14ac:dyDescent="0.25">
      <c r="B65" s="75" t="s">
        <v>158</v>
      </c>
      <c r="C65" s="75"/>
      <c r="D65" s="75"/>
      <c r="E65" s="75"/>
      <c r="F65" s="75"/>
      <c r="G65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7E48-C16E-6A47-9E9B-473C3FD670E3}">
  <dimension ref="A1:V22"/>
  <sheetViews>
    <sheetView topLeftCell="D1" zoomScale="87" workbookViewId="0">
      <selection activeCell="E2" sqref="E2"/>
    </sheetView>
  </sheetViews>
  <sheetFormatPr baseColWidth="10" defaultColWidth="11" defaultRowHeight="16" x14ac:dyDescent="0.2"/>
  <cols>
    <col min="1" max="1" width="26.33203125" bestFit="1" customWidth="1"/>
    <col min="2" max="2" width="14.5" customWidth="1"/>
    <col min="5" max="5" width="19" customWidth="1"/>
    <col min="6" max="17" width="4.6640625" customWidth="1"/>
    <col min="20" max="21" width="19" customWidth="1"/>
    <col min="22" max="22" width="17.5" customWidth="1"/>
  </cols>
  <sheetData>
    <row r="1" spans="1:22" ht="17" x14ac:dyDescent="0.2">
      <c r="A1" s="2" t="s">
        <v>5</v>
      </c>
      <c r="B1" s="2" t="s">
        <v>18</v>
      </c>
      <c r="C1" s="2" t="s">
        <v>19</v>
      </c>
      <c r="D1" s="2" t="s">
        <v>20</v>
      </c>
      <c r="E1" s="2" t="s">
        <v>159</v>
      </c>
      <c r="F1" s="2" t="s">
        <v>6</v>
      </c>
      <c r="G1" s="2" t="s">
        <v>7</v>
      </c>
      <c r="H1" s="16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25</v>
      </c>
      <c r="S1" s="2" t="s">
        <v>26</v>
      </c>
      <c r="T1" s="2" t="s">
        <v>160</v>
      </c>
      <c r="U1" s="2" t="s">
        <v>161</v>
      </c>
      <c r="V1" s="2" t="s">
        <v>27</v>
      </c>
    </row>
    <row r="2" spans="1:22" ht="17" x14ac:dyDescent="0.2">
      <c r="A2" s="32" t="s">
        <v>29</v>
      </c>
      <c r="B2" s="3" t="s">
        <v>28</v>
      </c>
      <c r="C2" s="3">
        <v>22.6</v>
      </c>
      <c r="D2" s="3">
        <v>9.27</v>
      </c>
      <c r="E2" s="69">
        <v>2.7</v>
      </c>
      <c r="F2" s="41">
        <v>0</v>
      </c>
      <c r="G2" s="41">
        <v>0</v>
      </c>
      <c r="H2" s="40">
        <f>$R2</f>
        <v>0</v>
      </c>
      <c r="I2" s="40">
        <f t="shared" ref="I2:Q15" si="0">$R2</f>
        <v>0</v>
      </c>
      <c r="J2" s="40">
        <f t="shared" si="0"/>
        <v>0</v>
      </c>
      <c r="K2" s="40">
        <f t="shared" si="0"/>
        <v>0</v>
      </c>
      <c r="L2" s="40">
        <f t="shared" si="0"/>
        <v>0</v>
      </c>
      <c r="M2" s="40">
        <f t="shared" si="0"/>
        <v>0</v>
      </c>
      <c r="N2" s="41">
        <v>0</v>
      </c>
      <c r="O2" s="41">
        <v>0</v>
      </c>
      <c r="P2" s="41">
        <v>0</v>
      </c>
      <c r="Q2" s="41">
        <v>0</v>
      </c>
      <c r="R2" s="42">
        <v>0</v>
      </c>
      <c r="S2">
        <f t="shared" ref="S2:S15" si="1">R2*C2</f>
        <v>0</v>
      </c>
      <c r="T2" s="1">
        <f>R2*E2</f>
        <v>0</v>
      </c>
      <c r="U2">
        <f>C2*200</f>
        <v>4520</v>
      </c>
      <c r="V2" s="38">
        <f t="shared" ref="V2:V15" si="2">S2*D2</f>
        <v>0</v>
      </c>
    </row>
    <row r="3" spans="1:22" ht="17" x14ac:dyDescent="0.2">
      <c r="A3" s="32" t="s">
        <v>31</v>
      </c>
      <c r="B3" s="3" t="s">
        <v>32</v>
      </c>
      <c r="C3" s="3">
        <v>116.5</v>
      </c>
      <c r="D3" s="3">
        <v>9.91</v>
      </c>
      <c r="E3" s="69">
        <v>2.8</v>
      </c>
      <c r="F3" s="41">
        <v>0</v>
      </c>
      <c r="G3" s="41">
        <v>0</v>
      </c>
      <c r="H3" s="41">
        <v>0</v>
      </c>
      <c r="I3" s="43">
        <f>$R3</f>
        <v>0</v>
      </c>
      <c r="J3" s="43">
        <f t="shared" si="0"/>
        <v>0</v>
      </c>
      <c r="K3" s="43">
        <f t="shared" si="0"/>
        <v>0</v>
      </c>
      <c r="L3" s="43">
        <f t="shared" si="0"/>
        <v>0</v>
      </c>
      <c r="M3" s="43">
        <f t="shared" si="0"/>
        <v>0</v>
      </c>
      <c r="N3" s="43">
        <f t="shared" si="0"/>
        <v>0</v>
      </c>
      <c r="O3" s="43">
        <f t="shared" si="0"/>
        <v>0</v>
      </c>
      <c r="P3" s="43">
        <f t="shared" si="0"/>
        <v>0</v>
      </c>
      <c r="Q3" s="41">
        <v>0</v>
      </c>
      <c r="R3" s="42">
        <v>0</v>
      </c>
      <c r="S3">
        <f t="shared" si="1"/>
        <v>0</v>
      </c>
      <c r="T3" s="1">
        <f t="shared" ref="T3:T15" si="3">R3*E3</f>
        <v>0</v>
      </c>
      <c r="U3">
        <f t="shared" ref="U3:U15" si="4">C3*200</f>
        <v>23300</v>
      </c>
      <c r="V3" s="38">
        <f t="shared" si="2"/>
        <v>0</v>
      </c>
    </row>
    <row r="4" spans="1:22" ht="17" x14ac:dyDescent="0.2">
      <c r="A4" s="32" t="s">
        <v>34</v>
      </c>
      <c r="B4" s="3" t="s">
        <v>35</v>
      </c>
      <c r="C4" s="3">
        <v>78.599999999999994</v>
      </c>
      <c r="D4" s="3">
        <v>12.15</v>
      </c>
      <c r="E4" s="69">
        <v>4.9000000000000004</v>
      </c>
      <c r="F4" s="41">
        <v>0</v>
      </c>
      <c r="G4" s="41">
        <v>0</v>
      </c>
      <c r="H4" s="41">
        <v>0</v>
      </c>
      <c r="I4" s="44">
        <f>$R4</f>
        <v>0</v>
      </c>
      <c r="J4" s="44">
        <f t="shared" si="0"/>
        <v>0</v>
      </c>
      <c r="K4" s="44">
        <f t="shared" si="0"/>
        <v>0</v>
      </c>
      <c r="L4" s="44">
        <f t="shared" si="0"/>
        <v>0</v>
      </c>
      <c r="M4" s="44">
        <f t="shared" si="0"/>
        <v>0</v>
      </c>
      <c r="N4" s="44">
        <f t="shared" si="0"/>
        <v>0</v>
      </c>
      <c r="O4" s="41">
        <v>0</v>
      </c>
      <c r="P4" s="41">
        <v>0</v>
      </c>
      <c r="Q4" s="41">
        <v>0</v>
      </c>
      <c r="R4" s="42">
        <v>0</v>
      </c>
      <c r="S4">
        <f t="shared" si="1"/>
        <v>0</v>
      </c>
      <c r="T4" s="1">
        <f t="shared" si="3"/>
        <v>0</v>
      </c>
      <c r="U4">
        <f t="shared" si="4"/>
        <v>15719.999999999998</v>
      </c>
      <c r="V4" s="38">
        <f t="shared" si="2"/>
        <v>0</v>
      </c>
    </row>
    <row r="5" spans="1:22" ht="34" x14ac:dyDescent="0.2">
      <c r="A5" s="32" t="s">
        <v>37</v>
      </c>
      <c r="B5" s="3" t="s">
        <v>38</v>
      </c>
      <c r="C5" s="3">
        <v>39.29</v>
      </c>
      <c r="D5" s="3">
        <v>12.2</v>
      </c>
      <c r="E5" s="69">
        <v>2.4</v>
      </c>
      <c r="F5" s="41">
        <v>0</v>
      </c>
      <c r="G5" s="41">
        <v>0</v>
      </c>
      <c r="H5" s="41">
        <v>0</v>
      </c>
      <c r="I5" s="43">
        <f>$R5</f>
        <v>0</v>
      </c>
      <c r="J5" s="43">
        <f t="shared" si="0"/>
        <v>0</v>
      </c>
      <c r="K5" s="43">
        <f t="shared" si="0"/>
        <v>0</v>
      </c>
      <c r="L5" s="43">
        <f t="shared" si="0"/>
        <v>0</v>
      </c>
      <c r="M5" s="43">
        <f t="shared" si="0"/>
        <v>0</v>
      </c>
      <c r="N5" s="43">
        <f t="shared" si="0"/>
        <v>0</v>
      </c>
      <c r="O5" s="43">
        <f t="shared" si="0"/>
        <v>0</v>
      </c>
      <c r="P5" s="41">
        <v>0</v>
      </c>
      <c r="Q5" s="41">
        <v>0</v>
      </c>
      <c r="R5" s="42">
        <v>0</v>
      </c>
      <c r="S5">
        <f t="shared" si="1"/>
        <v>0</v>
      </c>
      <c r="T5" s="1">
        <f t="shared" si="3"/>
        <v>0</v>
      </c>
      <c r="U5">
        <f t="shared" si="4"/>
        <v>7858</v>
      </c>
      <c r="V5" s="38">
        <f t="shared" si="2"/>
        <v>0</v>
      </c>
    </row>
    <row r="6" spans="1:22" ht="17" x14ac:dyDescent="0.2">
      <c r="A6" s="32" t="s">
        <v>40</v>
      </c>
      <c r="B6" s="3" t="s">
        <v>41</v>
      </c>
      <c r="C6" s="3">
        <v>625</v>
      </c>
      <c r="D6" s="3">
        <v>10.3</v>
      </c>
      <c r="E6" s="69">
        <v>2.4</v>
      </c>
      <c r="F6" s="41">
        <v>0</v>
      </c>
      <c r="G6" s="41">
        <v>0</v>
      </c>
      <c r="H6" s="41">
        <v>0</v>
      </c>
      <c r="I6" s="44">
        <f>$R6</f>
        <v>0</v>
      </c>
      <c r="J6" s="44">
        <f t="shared" si="0"/>
        <v>0</v>
      </c>
      <c r="K6" s="44">
        <f t="shared" si="0"/>
        <v>0</v>
      </c>
      <c r="L6" s="44">
        <f t="shared" si="0"/>
        <v>0</v>
      </c>
      <c r="M6" s="44">
        <f t="shared" si="0"/>
        <v>0</v>
      </c>
      <c r="N6" s="44">
        <f t="shared" si="0"/>
        <v>0</v>
      </c>
      <c r="O6" s="44">
        <f t="shared" si="0"/>
        <v>0</v>
      </c>
      <c r="P6" s="41">
        <v>0</v>
      </c>
      <c r="Q6" s="41">
        <v>0</v>
      </c>
      <c r="R6" s="42">
        <v>0</v>
      </c>
      <c r="S6">
        <f t="shared" si="1"/>
        <v>0</v>
      </c>
      <c r="T6" s="1">
        <f t="shared" si="3"/>
        <v>0</v>
      </c>
      <c r="U6">
        <f t="shared" si="4"/>
        <v>125000</v>
      </c>
      <c r="V6" s="38">
        <f t="shared" si="2"/>
        <v>0</v>
      </c>
    </row>
    <row r="7" spans="1:22" ht="17" x14ac:dyDescent="0.2">
      <c r="A7" s="32" t="s">
        <v>43</v>
      </c>
      <c r="B7" s="3" t="s">
        <v>42</v>
      </c>
      <c r="C7" s="3">
        <v>42</v>
      </c>
      <c r="D7" s="3">
        <v>9.08</v>
      </c>
      <c r="E7" s="69">
        <v>2.7</v>
      </c>
      <c r="F7" s="41">
        <v>0</v>
      </c>
      <c r="G7" s="41">
        <v>0</v>
      </c>
      <c r="H7" s="41">
        <v>0</v>
      </c>
      <c r="I7" s="43">
        <f t="shared" ref="I7:I8" si="5">$R7</f>
        <v>0</v>
      </c>
      <c r="J7" s="43">
        <f t="shared" si="0"/>
        <v>0</v>
      </c>
      <c r="K7" s="43">
        <f t="shared" si="0"/>
        <v>0</v>
      </c>
      <c r="L7" s="43">
        <f t="shared" si="0"/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2">
        <v>0</v>
      </c>
      <c r="S7">
        <f t="shared" si="1"/>
        <v>0</v>
      </c>
      <c r="T7" s="1">
        <f t="shared" si="3"/>
        <v>0</v>
      </c>
      <c r="U7">
        <f t="shared" si="4"/>
        <v>8400</v>
      </c>
      <c r="V7" s="38">
        <f t="shared" si="2"/>
        <v>0</v>
      </c>
    </row>
    <row r="8" spans="1:22" ht="17" x14ac:dyDescent="0.2">
      <c r="A8" s="32" t="s">
        <v>45</v>
      </c>
      <c r="B8" s="3" t="s">
        <v>44</v>
      </c>
      <c r="C8" s="3">
        <v>42</v>
      </c>
      <c r="D8" s="3">
        <v>9.08</v>
      </c>
      <c r="E8" s="69">
        <v>3.1</v>
      </c>
      <c r="F8" s="45">
        <f>$R8</f>
        <v>0</v>
      </c>
      <c r="G8" s="45">
        <f t="shared" ref="G8:H8" si="6">$R8</f>
        <v>0</v>
      </c>
      <c r="H8" s="45">
        <f t="shared" si="6"/>
        <v>0</v>
      </c>
      <c r="I8" s="45">
        <f t="shared" si="5"/>
        <v>0</v>
      </c>
      <c r="J8" s="45">
        <f t="shared" si="0"/>
        <v>0</v>
      </c>
      <c r="K8" s="45">
        <f t="shared" si="0"/>
        <v>0</v>
      </c>
      <c r="L8" s="45">
        <f t="shared" si="0"/>
        <v>0</v>
      </c>
      <c r="M8" s="41">
        <v>0</v>
      </c>
      <c r="N8" s="41">
        <v>0</v>
      </c>
      <c r="O8" s="45">
        <f t="shared" si="0"/>
        <v>0</v>
      </c>
      <c r="P8" s="45">
        <f t="shared" si="0"/>
        <v>0</v>
      </c>
      <c r="Q8" s="45">
        <f t="shared" si="0"/>
        <v>0</v>
      </c>
      <c r="R8" s="42">
        <v>0</v>
      </c>
      <c r="S8">
        <f t="shared" si="1"/>
        <v>0</v>
      </c>
      <c r="T8" s="1">
        <f t="shared" si="3"/>
        <v>0</v>
      </c>
      <c r="U8">
        <f t="shared" si="4"/>
        <v>8400</v>
      </c>
      <c r="V8" s="38">
        <f t="shared" si="2"/>
        <v>0</v>
      </c>
    </row>
    <row r="9" spans="1:22" ht="17" x14ac:dyDescent="0.2">
      <c r="A9" s="32" t="s">
        <v>47</v>
      </c>
      <c r="B9" s="3" t="s">
        <v>48</v>
      </c>
      <c r="C9" s="3">
        <v>120</v>
      </c>
      <c r="D9" s="3">
        <v>15.8</v>
      </c>
      <c r="E9" s="69">
        <v>2.2000000000000002</v>
      </c>
      <c r="F9" s="41">
        <v>0</v>
      </c>
      <c r="G9" s="41">
        <v>0</v>
      </c>
      <c r="H9" s="41">
        <v>0</v>
      </c>
      <c r="I9" s="41">
        <v>0</v>
      </c>
      <c r="J9" s="43">
        <f t="shared" si="0"/>
        <v>0</v>
      </c>
      <c r="K9" s="43">
        <f t="shared" si="0"/>
        <v>0</v>
      </c>
      <c r="L9" s="43">
        <f t="shared" si="0"/>
        <v>0</v>
      </c>
      <c r="M9" s="43">
        <f t="shared" si="0"/>
        <v>0</v>
      </c>
      <c r="N9" s="43">
        <f t="shared" si="0"/>
        <v>0</v>
      </c>
      <c r="O9" s="41">
        <v>0</v>
      </c>
      <c r="P9" s="41">
        <v>0</v>
      </c>
      <c r="Q9" s="41">
        <v>0</v>
      </c>
      <c r="R9" s="42">
        <v>0</v>
      </c>
      <c r="S9">
        <f t="shared" si="1"/>
        <v>0</v>
      </c>
      <c r="T9" s="1">
        <f t="shared" si="3"/>
        <v>0</v>
      </c>
      <c r="U9">
        <f t="shared" si="4"/>
        <v>24000</v>
      </c>
      <c r="V9" s="38">
        <f t="shared" si="2"/>
        <v>0</v>
      </c>
    </row>
    <row r="10" spans="1:22" ht="17" x14ac:dyDescent="0.2">
      <c r="A10" s="32" t="s">
        <v>50</v>
      </c>
      <c r="B10" s="3" t="s">
        <v>51</v>
      </c>
      <c r="C10" s="3">
        <v>200</v>
      </c>
      <c r="D10" s="3">
        <v>11.4</v>
      </c>
      <c r="E10" s="69">
        <v>2.8</v>
      </c>
      <c r="F10" s="41">
        <v>0</v>
      </c>
      <c r="G10" s="41">
        <v>0</v>
      </c>
      <c r="H10" s="41">
        <v>0</v>
      </c>
      <c r="I10" s="45">
        <f t="shared" si="0"/>
        <v>0</v>
      </c>
      <c r="J10" s="45">
        <f t="shared" si="0"/>
        <v>0</v>
      </c>
      <c r="K10" s="45">
        <f t="shared" si="0"/>
        <v>0</v>
      </c>
      <c r="L10" s="45">
        <f t="shared" si="0"/>
        <v>0</v>
      </c>
      <c r="M10" s="45">
        <f t="shared" si="0"/>
        <v>0</v>
      </c>
      <c r="N10" s="45">
        <f t="shared" si="0"/>
        <v>0</v>
      </c>
      <c r="O10" s="41">
        <v>0</v>
      </c>
      <c r="P10" s="41">
        <v>0</v>
      </c>
      <c r="Q10" s="41">
        <v>0</v>
      </c>
      <c r="R10" s="42">
        <v>0</v>
      </c>
      <c r="S10">
        <f t="shared" si="1"/>
        <v>0</v>
      </c>
      <c r="T10" s="1">
        <f t="shared" si="3"/>
        <v>0</v>
      </c>
      <c r="U10">
        <f t="shared" si="4"/>
        <v>40000</v>
      </c>
      <c r="V10" s="38">
        <f t="shared" si="2"/>
        <v>0</v>
      </c>
    </row>
    <row r="11" spans="1:22" ht="17" x14ac:dyDescent="0.2">
      <c r="A11" s="32" t="s">
        <v>53</v>
      </c>
      <c r="B11" s="3" t="s">
        <v>54</v>
      </c>
      <c r="C11" s="3">
        <v>641</v>
      </c>
      <c r="D11" s="3">
        <v>18.3</v>
      </c>
      <c r="E11" s="69">
        <v>3</v>
      </c>
      <c r="F11" s="41">
        <v>0</v>
      </c>
      <c r="G11" s="41">
        <v>0</v>
      </c>
      <c r="H11" s="43">
        <f t="shared" ref="H11:M11" si="7">$R11</f>
        <v>430</v>
      </c>
      <c r="I11" s="43">
        <f t="shared" si="7"/>
        <v>430</v>
      </c>
      <c r="J11" s="43">
        <f t="shared" si="7"/>
        <v>430</v>
      </c>
      <c r="K11" s="43">
        <f t="shared" si="7"/>
        <v>430</v>
      </c>
      <c r="L11" s="43">
        <f t="shared" si="7"/>
        <v>430</v>
      </c>
      <c r="M11" s="43">
        <f t="shared" si="7"/>
        <v>430</v>
      </c>
      <c r="N11" s="41">
        <v>0</v>
      </c>
      <c r="O11" s="41">
        <v>0</v>
      </c>
      <c r="P11" s="41">
        <v>0</v>
      </c>
      <c r="Q11" s="41">
        <v>0</v>
      </c>
      <c r="R11" s="42">
        <v>430</v>
      </c>
      <c r="S11">
        <f t="shared" si="1"/>
        <v>275630</v>
      </c>
      <c r="T11" s="1">
        <f t="shared" si="3"/>
        <v>1290</v>
      </c>
      <c r="U11">
        <f t="shared" si="4"/>
        <v>128200</v>
      </c>
      <c r="V11" s="38">
        <f t="shared" si="2"/>
        <v>5044029</v>
      </c>
    </row>
    <row r="12" spans="1:22" ht="17" x14ac:dyDescent="0.2">
      <c r="A12" s="32" t="s">
        <v>56</v>
      </c>
      <c r="B12" s="3" t="s">
        <v>55</v>
      </c>
      <c r="C12" s="3">
        <v>175</v>
      </c>
      <c r="D12" s="3">
        <v>16.100000000000001</v>
      </c>
      <c r="E12" s="69">
        <v>2.7</v>
      </c>
      <c r="F12" s="41">
        <v>0</v>
      </c>
      <c r="G12" s="41">
        <v>0</v>
      </c>
      <c r="H12" s="41">
        <v>0</v>
      </c>
      <c r="I12" s="41">
        <v>0</v>
      </c>
      <c r="J12" s="45">
        <f t="shared" si="0"/>
        <v>0</v>
      </c>
      <c r="K12" s="45">
        <f t="shared" si="0"/>
        <v>0</v>
      </c>
      <c r="L12" s="45">
        <f t="shared" si="0"/>
        <v>0</v>
      </c>
      <c r="M12" s="45">
        <f t="shared" si="0"/>
        <v>0</v>
      </c>
      <c r="N12" s="45">
        <f t="shared" si="0"/>
        <v>0</v>
      </c>
      <c r="O12" s="41">
        <v>0</v>
      </c>
      <c r="P12" s="41">
        <v>0</v>
      </c>
      <c r="Q12" s="41">
        <v>0</v>
      </c>
      <c r="R12" s="42">
        <v>0</v>
      </c>
      <c r="S12">
        <f t="shared" si="1"/>
        <v>0</v>
      </c>
      <c r="T12" s="1">
        <f t="shared" si="3"/>
        <v>0</v>
      </c>
      <c r="U12">
        <f t="shared" si="4"/>
        <v>35000</v>
      </c>
      <c r="V12" s="38">
        <f t="shared" si="2"/>
        <v>0</v>
      </c>
    </row>
    <row r="13" spans="1:22" ht="17" x14ac:dyDescent="0.2">
      <c r="A13" s="32" t="s">
        <v>58</v>
      </c>
      <c r="B13" s="3" t="s">
        <v>59</v>
      </c>
      <c r="C13" s="3">
        <v>31</v>
      </c>
      <c r="D13" s="3">
        <v>15.4</v>
      </c>
      <c r="E13" s="69">
        <v>1.5</v>
      </c>
      <c r="F13" s="41">
        <v>0</v>
      </c>
      <c r="G13" s="41">
        <v>0</v>
      </c>
      <c r="H13" s="41">
        <v>0</v>
      </c>
      <c r="I13" s="43">
        <f t="shared" ref="I13" si="8">$R13</f>
        <v>0</v>
      </c>
      <c r="J13" s="43">
        <f t="shared" si="0"/>
        <v>0</v>
      </c>
      <c r="K13" s="43">
        <f t="shared" si="0"/>
        <v>0</v>
      </c>
      <c r="L13" s="41">
        <v>0</v>
      </c>
      <c r="M13" s="46">
        <v>0</v>
      </c>
      <c r="N13" s="46">
        <v>0</v>
      </c>
      <c r="O13" s="46">
        <v>0</v>
      </c>
      <c r="P13" s="41">
        <v>0</v>
      </c>
      <c r="Q13" s="41">
        <v>0</v>
      </c>
      <c r="R13" s="42">
        <v>0</v>
      </c>
      <c r="S13">
        <f t="shared" si="1"/>
        <v>0</v>
      </c>
      <c r="T13" s="1">
        <f t="shared" si="3"/>
        <v>0</v>
      </c>
      <c r="U13">
        <f t="shared" si="4"/>
        <v>6200</v>
      </c>
      <c r="V13" s="38">
        <f t="shared" si="2"/>
        <v>0</v>
      </c>
    </row>
    <row r="14" spans="1:22" ht="17" x14ac:dyDescent="0.2">
      <c r="A14" s="32" t="s">
        <v>61</v>
      </c>
      <c r="B14" s="3" t="s">
        <v>62</v>
      </c>
      <c r="C14" s="3">
        <v>31</v>
      </c>
      <c r="D14" s="3">
        <v>15.4</v>
      </c>
      <c r="E14" s="69">
        <v>2.2000000000000002</v>
      </c>
      <c r="F14" s="41">
        <v>0</v>
      </c>
      <c r="G14" s="41">
        <v>0</v>
      </c>
      <c r="H14" s="41">
        <v>0</v>
      </c>
      <c r="I14" s="46">
        <v>0</v>
      </c>
      <c r="J14" s="46">
        <v>0</v>
      </c>
      <c r="K14" s="46">
        <v>0</v>
      </c>
      <c r="L14" s="41">
        <v>0</v>
      </c>
      <c r="M14" s="45">
        <f t="shared" si="0"/>
        <v>0</v>
      </c>
      <c r="N14" s="45">
        <f t="shared" si="0"/>
        <v>0</v>
      </c>
      <c r="O14" s="45">
        <f t="shared" si="0"/>
        <v>0</v>
      </c>
      <c r="P14" s="41">
        <v>0</v>
      </c>
      <c r="Q14" s="41">
        <v>0</v>
      </c>
      <c r="R14" s="42">
        <v>0</v>
      </c>
      <c r="S14">
        <f t="shared" si="1"/>
        <v>0</v>
      </c>
      <c r="T14" s="1">
        <f t="shared" si="3"/>
        <v>0</v>
      </c>
      <c r="U14">
        <f t="shared" si="4"/>
        <v>6200</v>
      </c>
      <c r="V14" s="38">
        <f t="shared" si="2"/>
        <v>0</v>
      </c>
    </row>
    <row r="15" spans="1:22" ht="17" x14ac:dyDescent="0.2">
      <c r="A15" s="32" t="s">
        <v>64</v>
      </c>
      <c r="B15" s="3" t="s">
        <v>63</v>
      </c>
      <c r="C15" s="3">
        <v>15.46</v>
      </c>
      <c r="D15" s="3">
        <v>5.178E-2</v>
      </c>
      <c r="E15" s="69">
        <v>3.1</v>
      </c>
      <c r="F15" s="41">
        <v>0</v>
      </c>
      <c r="G15" s="41">
        <v>0</v>
      </c>
      <c r="H15" s="43">
        <f t="shared" ref="H15:L15" si="9">$R15</f>
        <v>0</v>
      </c>
      <c r="I15" s="43">
        <f t="shared" si="9"/>
        <v>0</v>
      </c>
      <c r="J15" s="43">
        <f t="shared" si="9"/>
        <v>0</v>
      </c>
      <c r="K15" s="43">
        <f t="shared" si="9"/>
        <v>0</v>
      </c>
      <c r="L15" s="43">
        <f t="shared" si="9"/>
        <v>0</v>
      </c>
      <c r="M15" s="43">
        <f t="shared" si="0"/>
        <v>0</v>
      </c>
      <c r="N15" s="46">
        <v>0</v>
      </c>
      <c r="O15" s="46">
        <v>0</v>
      </c>
      <c r="P15" s="41">
        <v>0</v>
      </c>
      <c r="Q15" s="41">
        <v>0</v>
      </c>
      <c r="R15" s="42">
        <v>0</v>
      </c>
      <c r="S15">
        <f t="shared" si="1"/>
        <v>0</v>
      </c>
      <c r="T15" s="1">
        <f t="shared" si="3"/>
        <v>0</v>
      </c>
      <c r="U15">
        <f t="shared" si="4"/>
        <v>3092</v>
      </c>
      <c r="V15" s="38">
        <f t="shared" si="2"/>
        <v>0</v>
      </c>
    </row>
    <row r="16" spans="1:22" x14ac:dyDescent="0.2">
      <c r="A16" t="s">
        <v>184</v>
      </c>
      <c r="E16" s="6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8"/>
      <c r="T16" s="67">
        <f>SUM(T2:T15)</f>
        <v>1290</v>
      </c>
      <c r="U16" s="1"/>
      <c r="V16" s="39">
        <f>SUM(V2:V15)</f>
        <v>5044029</v>
      </c>
    </row>
    <row r="17" spans="1:22" x14ac:dyDescent="0.2">
      <c r="A17" t="s">
        <v>185</v>
      </c>
      <c r="E17" s="50"/>
      <c r="V17" s="65">
        <f>T16*A22</f>
        <v>48594.3</v>
      </c>
    </row>
    <row r="18" spans="1:22" ht="17" x14ac:dyDescent="0.2">
      <c r="A18" s="36" t="s">
        <v>65</v>
      </c>
      <c r="E18" s="68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V18" s="66">
        <f>V16-V17</f>
        <v>4995434.7</v>
      </c>
    </row>
    <row r="19" spans="1:22" x14ac:dyDescent="0.2">
      <c r="A19" s="37">
        <v>430</v>
      </c>
      <c r="E19" s="50"/>
      <c r="T19" s="1"/>
      <c r="U19" s="1"/>
    </row>
    <row r="21" spans="1:22" x14ac:dyDescent="0.2">
      <c r="A21" s="51" t="s">
        <v>186</v>
      </c>
    </row>
    <row r="22" spans="1:22" x14ac:dyDescent="0.2">
      <c r="A22" s="71">
        <v>37.67</v>
      </c>
      <c r="E22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63A5-20C0-D444-98DB-1D50C76E95D4}">
  <dimension ref="A2:W21"/>
  <sheetViews>
    <sheetView zoomScale="81" zoomScaleNormal="70" workbookViewId="0">
      <selection activeCell="E20" sqref="E20:Q21"/>
    </sheetView>
  </sheetViews>
  <sheetFormatPr baseColWidth="10" defaultColWidth="11" defaultRowHeight="18" customHeight="1" x14ac:dyDescent="0.2"/>
  <cols>
    <col min="1" max="1" width="15.1640625" bestFit="1" customWidth="1"/>
    <col min="2" max="2" width="7.83203125" bestFit="1" customWidth="1"/>
    <col min="3" max="3" width="7.6640625" bestFit="1" customWidth="1"/>
    <col min="4" max="4" width="8.33203125" customWidth="1"/>
    <col min="5" max="5" width="15.6640625" bestFit="1" customWidth="1"/>
    <col min="6" max="6" width="4.5" style="50" bestFit="1" customWidth="1"/>
    <col min="7" max="17" width="5.33203125" customWidth="1"/>
    <col min="18" max="18" width="6" customWidth="1"/>
    <col min="19" max="20" width="11" bestFit="1" customWidth="1"/>
    <col min="21" max="21" width="13.5" bestFit="1" customWidth="1"/>
    <col min="23" max="23" width="14.5" bestFit="1" customWidth="1"/>
    <col min="24" max="25" width="14.1640625" customWidth="1"/>
  </cols>
  <sheetData>
    <row r="2" spans="1:23" ht="35" customHeight="1" x14ac:dyDescent="0.2">
      <c r="A2" s="2" t="s">
        <v>18</v>
      </c>
      <c r="B2" s="2" t="s">
        <v>5</v>
      </c>
      <c r="C2" s="2" t="s">
        <v>19</v>
      </c>
      <c r="D2" s="2" t="s">
        <v>20</v>
      </c>
      <c r="E2" s="2" t="s">
        <v>159</v>
      </c>
      <c r="F2" s="2" t="s">
        <v>6</v>
      </c>
      <c r="G2" s="2" t="s">
        <v>7</v>
      </c>
      <c r="H2" s="16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25</v>
      </c>
      <c r="S2" s="2" t="s">
        <v>26</v>
      </c>
      <c r="T2" s="2" t="s">
        <v>68</v>
      </c>
      <c r="U2" s="2" t="s">
        <v>69</v>
      </c>
    </row>
    <row r="3" spans="1:23" ht="18" customHeight="1" x14ac:dyDescent="0.2">
      <c r="A3" s="3" t="s">
        <v>28</v>
      </c>
      <c r="B3" s="32" t="s">
        <v>29</v>
      </c>
      <c r="C3" s="3">
        <v>22.6</v>
      </c>
      <c r="D3" s="3">
        <v>9.27</v>
      </c>
      <c r="E3" s="52">
        <v>2.7</v>
      </c>
      <c r="F3" s="41">
        <v>0</v>
      </c>
      <c r="G3" s="41">
        <v>0</v>
      </c>
      <c r="H3" s="40">
        <f>$R3</f>
        <v>0</v>
      </c>
      <c r="I3" s="40">
        <f t="shared" ref="I3:Q16" si="0">$R3</f>
        <v>0</v>
      </c>
      <c r="J3" s="40">
        <f t="shared" si="0"/>
        <v>0</v>
      </c>
      <c r="K3" s="40">
        <f t="shared" si="0"/>
        <v>0</v>
      </c>
      <c r="L3" s="40">
        <f t="shared" si="0"/>
        <v>0</v>
      </c>
      <c r="M3" s="40">
        <f t="shared" si="0"/>
        <v>0</v>
      </c>
      <c r="N3" s="41">
        <v>0</v>
      </c>
      <c r="O3" s="41">
        <v>0</v>
      </c>
      <c r="P3" s="41">
        <v>0</v>
      </c>
      <c r="Q3" s="41">
        <v>0</v>
      </c>
      <c r="R3" s="42">
        <v>0</v>
      </c>
      <c r="S3">
        <f t="shared" ref="S3:S16" si="1">R3*C3</f>
        <v>0</v>
      </c>
      <c r="T3" s="53">
        <f ca="1">INT(RAND()*1500)</f>
        <v>362</v>
      </c>
      <c r="U3" s="38">
        <f t="shared" ref="U3:U16" si="2">S3*D3</f>
        <v>0</v>
      </c>
      <c r="W3" s="36" t="s">
        <v>65</v>
      </c>
    </row>
    <row r="4" spans="1:23" ht="18" customHeight="1" x14ac:dyDescent="0.2">
      <c r="A4" s="3" t="s">
        <v>32</v>
      </c>
      <c r="B4" s="32" t="s">
        <v>31</v>
      </c>
      <c r="C4" s="3">
        <v>116.5</v>
      </c>
      <c r="D4" s="3">
        <v>9.91</v>
      </c>
      <c r="E4" s="52">
        <v>2.8</v>
      </c>
      <c r="F4" s="41">
        <v>0</v>
      </c>
      <c r="G4" s="41">
        <v>0</v>
      </c>
      <c r="H4" s="41">
        <v>0</v>
      </c>
      <c r="I4" s="43">
        <f>$R4</f>
        <v>0</v>
      </c>
      <c r="J4" s="43">
        <f t="shared" si="0"/>
        <v>0</v>
      </c>
      <c r="K4" s="43">
        <f t="shared" si="0"/>
        <v>0</v>
      </c>
      <c r="L4" s="43">
        <f t="shared" si="0"/>
        <v>0</v>
      </c>
      <c r="M4" s="43">
        <f t="shared" si="0"/>
        <v>0</v>
      </c>
      <c r="N4" s="43">
        <f t="shared" si="0"/>
        <v>0</v>
      </c>
      <c r="O4" s="43">
        <f t="shared" si="0"/>
        <v>0</v>
      </c>
      <c r="P4" s="43">
        <f t="shared" si="0"/>
        <v>0</v>
      </c>
      <c r="Q4" s="41">
        <v>0</v>
      </c>
      <c r="R4" s="42">
        <v>0</v>
      </c>
      <c r="S4">
        <f t="shared" si="1"/>
        <v>0</v>
      </c>
      <c r="T4" s="53">
        <f t="shared" ref="T4:T16" ca="1" si="3">INT(RAND()*1500)</f>
        <v>704</v>
      </c>
      <c r="U4" s="38">
        <f t="shared" si="2"/>
        <v>0</v>
      </c>
      <c r="W4" s="37">
        <v>430</v>
      </c>
    </row>
    <row r="5" spans="1:23" ht="18" customHeight="1" x14ac:dyDescent="0.2">
      <c r="A5" s="3" t="s">
        <v>35</v>
      </c>
      <c r="B5" s="32" t="s">
        <v>34</v>
      </c>
      <c r="C5" s="3">
        <v>78.599999999999994</v>
      </c>
      <c r="D5" s="3">
        <v>12.15</v>
      </c>
      <c r="E5" s="52">
        <v>4.9000000000000004</v>
      </c>
      <c r="F5" s="41">
        <v>0</v>
      </c>
      <c r="G5" s="41">
        <v>0</v>
      </c>
      <c r="H5" s="41">
        <v>0</v>
      </c>
      <c r="I5" s="44">
        <f>$R5</f>
        <v>0</v>
      </c>
      <c r="J5" s="44">
        <f t="shared" si="0"/>
        <v>0</v>
      </c>
      <c r="K5" s="44">
        <f t="shared" si="0"/>
        <v>0</v>
      </c>
      <c r="L5" s="44">
        <f t="shared" si="0"/>
        <v>0</v>
      </c>
      <c r="M5" s="44">
        <f t="shared" si="0"/>
        <v>0</v>
      </c>
      <c r="N5" s="44">
        <f t="shared" si="0"/>
        <v>0</v>
      </c>
      <c r="O5" s="41">
        <v>0</v>
      </c>
      <c r="P5" s="41">
        <v>0</v>
      </c>
      <c r="Q5" s="41">
        <v>0</v>
      </c>
      <c r="R5" s="42">
        <v>0</v>
      </c>
      <c r="S5">
        <f t="shared" si="1"/>
        <v>0</v>
      </c>
      <c r="T5" s="53">
        <f t="shared" ca="1" si="3"/>
        <v>1032</v>
      </c>
      <c r="U5" s="38">
        <f t="shared" si="2"/>
        <v>0</v>
      </c>
    </row>
    <row r="6" spans="1:23" ht="27" customHeight="1" x14ac:dyDescent="0.2">
      <c r="A6" s="3" t="s">
        <v>38</v>
      </c>
      <c r="B6" s="32" t="s">
        <v>37</v>
      </c>
      <c r="C6" s="3">
        <v>39.29</v>
      </c>
      <c r="D6" s="3">
        <v>12.2</v>
      </c>
      <c r="E6" s="52">
        <v>2.4</v>
      </c>
      <c r="F6" s="41">
        <v>0</v>
      </c>
      <c r="G6" s="41">
        <v>0</v>
      </c>
      <c r="H6" s="41">
        <v>0</v>
      </c>
      <c r="I6" s="43">
        <f>$R6</f>
        <v>0</v>
      </c>
      <c r="J6" s="43">
        <f t="shared" si="0"/>
        <v>0</v>
      </c>
      <c r="K6" s="43">
        <f t="shared" si="0"/>
        <v>0</v>
      </c>
      <c r="L6" s="43">
        <f t="shared" si="0"/>
        <v>0</v>
      </c>
      <c r="M6" s="43">
        <f t="shared" si="0"/>
        <v>0</v>
      </c>
      <c r="N6" s="43">
        <f t="shared" si="0"/>
        <v>0</v>
      </c>
      <c r="O6" s="43">
        <f t="shared" si="0"/>
        <v>0</v>
      </c>
      <c r="P6" s="41">
        <v>0</v>
      </c>
      <c r="Q6" s="41">
        <v>0</v>
      </c>
      <c r="R6" s="42">
        <v>0</v>
      </c>
      <c r="S6">
        <f t="shared" si="1"/>
        <v>0</v>
      </c>
      <c r="T6" s="53">
        <f t="shared" ca="1" si="3"/>
        <v>1469</v>
      </c>
      <c r="U6" s="38">
        <f t="shared" si="2"/>
        <v>0</v>
      </c>
      <c r="W6" s="51" t="s">
        <v>187</v>
      </c>
    </row>
    <row r="7" spans="1:23" ht="18" customHeight="1" x14ac:dyDescent="0.2">
      <c r="A7" s="3" t="s">
        <v>41</v>
      </c>
      <c r="B7" s="32" t="s">
        <v>40</v>
      </c>
      <c r="C7" s="3">
        <v>625</v>
      </c>
      <c r="D7" s="3">
        <v>10.3</v>
      </c>
      <c r="E7" s="52">
        <v>2.4</v>
      </c>
      <c r="F7" s="41">
        <v>0</v>
      </c>
      <c r="G7" s="41">
        <v>0</v>
      </c>
      <c r="H7" s="41">
        <v>0</v>
      </c>
      <c r="I7" s="44">
        <f>$R7</f>
        <v>0</v>
      </c>
      <c r="J7" s="44">
        <f t="shared" si="0"/>
        <v>0</v>
      </c>
      <c r="K7" s="44">
        <f t="shared" si="0"/>
        <v>0</v>
      </c>
      <c r="L7" s="44">
        <f t="shared" si="0"/>
        <v>0</v>
      </c>
      <c r="M7" s="44">
        <f t="shared" si="0"/>
        <v>0</v>
      </c>
      <c r="N7" s="44">
        <f t="shared" si="0"/>
        <v>0</v>
      </c>
      <c r="O7" s="44">
        <f t="shared" si="0"/>
        <v>0</v>
      </c>
      <c r="P7" s="41">
        <v>0</v>
      </c>
      <c r="Q7" s="41">
        <v>0</v>
      </c>
      <c r="R7" s="42">
        <v>0</v>
      </c>
      <c r="S7">
        <f t="shared" si="1"/>
        <v>0</v>
      </c>
      <c r="T7" s="53">
        <f t="shared" ca="1" si="3"/>
        <v>953</v>
      </c>
      <c r="U7" s="38">
        <f t="shared" si="2"/>
        <v>0</v>
      </c>
      <c r="W7" s="54">
        <v>2</v>
      </c>
    </row>
    <row r="8" spans="1:23" ht="18" customHeight="1" x14ac:dyDescent="0.2">
      <c r="A8" s="3" t="s">
        <v>42</v>
      </c>
      <c r="B8" s="32" t="s">
        <v>43</v>
      </c>
      <c r="C8" s="3">
        <v>42</v>
      </c>
      <c r="D8" s="3">
        <v>9.08</v>
      </c>
      <c r="E8" s="52">
        <v>2.7</v>
      </c>
      <c r="F8" s="41">
        <v>0</v>
      </c>
      <c r="G8" s="41">
        <v>0</v>
      </c>
      <c r="H8" s="41">
        <v>0</v>
      </c>
      <c r="I8" s="43">
        <f t="shared" ref="I8:I9" si="4">$R8</f>
        <v>0</v>
      </c>
      <c r="J8" s="43">
        <f t="shared" si="0"/>
        <v>0</v>
      </c>
      <c r="K8" s="43">
        <f t="shared" si="0"/>
        <v>0</v>
      </c>
      <c r="L8" s="43">
        <f t="shared" si="0"/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2">
        <v>0</v>
      </c>
      <c r="S8">
        <f t="shared" si="1"/>
        <v>0</v>
      </c>
      <c r="T8" s="53">
        <f t="shared" ca="1" si="3"/>
        <v>633</v>
      </c>
      <c r="U8" s="38">
        <f t="shared" si="2"/>
        <v>0</v>
      </c>
    </row>
    <row r="9" spans="1:23" ht="18" customHeight="1" x14ac:dyDescent="0.2">
      <c r="A9" s="3" t="s">
        <v>44</v>
      </c>
      <c r="B9" s="32" t="s">
        <v>45</v>
      </c>
      <c r="C9" s="3">
        <v>42</v>
      </c>
      <c r="D9" s="3">
        <v>9.08</v>
      </c>
      <c r="E9" s="52">
        <v>3.1</v>
      </c>
      <c r="F9" s="45">
        <f>$R9</f>
        <v>0</v>
      </c>
      <c r="G9" s="45">
        <f t="shared" ref="G9:H9" si="5">$R9</f>
        <v>0</v>
      </c>
      <c r="H9" s="45">
        <f t="shared" si="5"/>
        <v>0</v>
      </c>
      <c r="I9" s="45">
        <f t="shared" si="4"/>
        <v>0</v>
      </c>
      <c r="J9" s="45">
        <f t="shared" si="0"/>
        <v>0</v>
      </c>
      <c r="K9" s="45">
        <f t="shared" si="0"/>
        <v>0</v>
      </c>
      <c r="L9" s="45">
        <f t="shared" si="0"/>
        <v>0</v>
      </c>
      <c r="M9" s="41">
        <v>0</v>
      </c>
      <c r="N9" s="41">
        <v>0</v>
      </c>
      <c r="O9" s="45">
        <f t="shared" si="0"/>
        <v>0</v>
      </c>
      <c r="P9" s="45">
        <f t="shared" si="0"/>
        <v>0</v>
      </c>
      <c r="Q9" s="45">
        <f t="shared" si="0"/>
        <v>0</v>
      </c>
      <c r="R9" s="42">
        <v>0</v>
      </c>
      <c r="S9">
        <f t="shared" si="1"/>
        <v>0</v>
      </c>
      <c r="T9" s="53">
        <f t="shared" ca="1" si="3"/>
        <v>784</v>
      </c>
      <c r="U9" s="38">
        <f t="shared" si="2"/>
        <v>0</v>
      </c>
    </row>
    <row r="10" spans="1:23" ht="18" customHeight="1" x14ac:dyDescent="0.2">
      <c r="A10" s="3" t="s">
        <v>48</v>
      </c>
      <c r="B10" s="32" t="s">
        <v>47</v>
      </c>
      <c r="C10" s="3">
        <v>120</v>
      </c>
      <c r="D10" s="3">
        <v>15.8</v>
      </c>
      <c r="E10" s="52">
        <v>2.2000000000000002</v>
      </c>
      <c r="F10" s="41">
        <v>0</v>
      </c>
      <c r="G10" s="41">
        <v>0</v>
      </c>
      <c r="H10" s="41">
        <v>0</v>
      </c>
      <c r="I10" s="41">
        <v>0</v>
      </c>
      <c r="J10" s="43">
        <f t="shared" si="0"/>
        <v>0</v>
      </c>
      <c r="K10" s="43">
        <f t="shared" si="0"/>
        <v>0</v>
      </c>
      <c r="L10" s="43">
        <f t="shared" si="0"/>
        <v>0</v>
      </c>
      <c r="M10" s="43">
        <f t="shared" si="0"/>
        <v>0</v>
      </c>
      <c r="N10" s="43">
        <f t="shared" si="0"/>
        <v>0</v>
      </c>
      <c r="O10" s="41">
        <v>0</v>
      </c>
      <c r="P10" s="41">
        <v>0</v>
      </c>
      <c r="Q10" s="41">
        <v>0</v>
      </c>
      <c r="R10" s="42">
        <v>0</v>
      </c>
      <c r="S10">
        <f t="shared" si="1"/>
        <v>0</v>
      </c>
      <c r="T10" s="53">
        <f t="shared" ca="1" si="3"/>
        <v>394</v>
      </c>
      <c r="U10" s="38">
        <f t="shared" si="2"/>
        <v>0</v>
      </c>
    </row>
    <row r="11" spans="1:23" ht="18" customHeight="1" x14ac:dyDescent="0.2">
      <c r="A11" s="3" t="s">
        <v>51</v>
      </c>
      <c r="B11" s="32" t="s">
        <v>50</v>
      </c>
      <c r="C11" s="3">
        <v>200</v>
      </c>
      <c r="D11" s="3">
        <v>11.4</v>
      </c>
      <c r="E11" s="52">
        <v>2.8</v>
      </c>
      <c r="F11" s="41">
        <v>0</v>
      </c>
      <c r="G11" s="41">
        <v>0</v>
      </c>
      <c r="H11" s="41">
        <v>0</v>
      </c>
      <c r="I11" s="45">
        <f t="shared" si="0"/>
        <v>0</v>
      </c>
      <c r="J11" s="45">
        <f t="shared" si="0"/>
        <v>0</v>
      </c>
      <c r="K11" s="45">
        <f t="shared" si="0"/>
        <v>0</v>
      </c>
      <c r="L11" s="45">
        <f t="shared" si="0"/>
        <v>0</v>
      </c>
      <c r="M11" s="45">
        <f t="shared" si="0"/>
        <v>0</v>
      </c>
      <c r="N11" s="45">
        <f t="shared" si="0"/>
        <v>0</v>
      </c>
      <c r="O11" s="41">
        <v>0</v>
      </c>
      <c r="P11" s="41">
        <v>0</v>
      </c>
      <c r="Q11" s="41">
        <v>0</v>
      </c>
      <c r="R11" s="42">
        <v>0</v>
      </c>
      <c r="S11">
        <f t="shared" si="1"/>
        <v>0</v>
      </c>
      <c r="T11" s="53">
        <f t="shared" ca="1" si="3"/>
        <v>853</v>
      </c>
      <c r="U11" s="38">
        <f t="shared" si="2"/>
        <v>0</v>
      </c>
    </row>
    <row r="12" spans="1:23" ht="18" customHeight="1" x14ac:dyDescent="0.2">
      <c r="A12" s="3" t="s">
        <v>54</v>
      </c>
      <c r="B12" s="32" t="s">
        <v>53</v>
      </c>
      <c r="C12" s="3">
        <v>641</v>
      </c>
      <c r="D12" s="3">
        <v>18.3</v>
      </c>
      <c r="E12" s="52">
        <v>3</v>
      </c>
      <c r="F12" s="41">
        <v>0</v>
      </c>
      <c r="G12" s="41">
        <v>0</v>
      </c>
      <c r="H12" s="43">
        <f t="shared" ref="H12:M12" si="6">$R12</f>
        <v>0</v>
      </c>
      <c r="I12" s="43">
        <f t="shared" si="6"/>
        <v>0</v>
      </c>
      <c r="J12" s="43">
        <f t="shared" si="6"/>
        <v>0</v>
      </c>
      <c r="K12" s="43">
        <f t="shared" si="6"/>
        <v>0</v>
      </c>
      <c r="L12" s="43">
        <f t="shared" si="6"/>
        <v>0</v>
      </c>
      <c r="M12" s="43">
        <f t="shared" si="6"/>
        <v>0</v>
      </c>
      <c r="N12" s="41">
        <v>0</v>
      </c>
      <c r="O12" s="41">
        <v>0</v>
      </c>
      <c r="P12" s="41">
        <v>0</v>
      </c>
      <c r="Q12" s="41">
        <v>0</v>
      </c>
      <c r="R12" s="42">
        <v>0</v>
      </c>
      <c r="S12">
        <f t="shared" si="1"/>
        <v>0</v>
      </c>
      <c r="T12" s="53">
        <f t="shared" ca="1" si="3"/>
        <v>830</v>
      </c>
      <c r="U12" s="38">
        <f t="shared" si="2"/>
        <v>0</v>
      </c>
    </row>
    <row r="13" spans="1:23" ht="18" customHeight="1" x14ac:dyDescent="0.2">
      <c r="A13" s="3" t="s">
        <v>55</v>
      </c>
      <c r="B13" s="32" t="s">
        <v>56</v>
      </c>
      <c r="C13" s="3">
        <v>175</v>
      </c>
      <c r="D13" s="3">
        <v>16.100000000000001</v>
      </c>
      <c r="E13" s="52">
        <v>2.7</v>
      </c>
      <c r="F13" s="41">
        <v>0</v>
      </c>
      <c r="G13" s="41">
        <v>0</v>
      </c>
      <c r="H13" s="41">
        <v>0</v>
      </c>
      <c r="I13" s="41">
        <v>0</v>
      </c>
      <c r="J13" s="45">
        <f t="shared" si="0"/>
        <v>0</v>
      </c>
      <c r="K13" s="45">
        <f t="shared" si="0"/>
        <v>0</v>
      </c>
      <c r="L13" s="45">
        <f t="shared" si="0"/>
        <v>0</v>
      </c>
      <c r="M13" s="45">
        <f t="shared" si="0"/>
        <v>0</v>
      </c>
      <c r="N13" s="45">
        <f t="shared" si="0"/>
        <v>0</v>
      </c>
      <c r="O13" s="41">
        <v>0</v>
      </c>
      <c r="P13" s="41">
        <v>0</v>
      </c>
      <c r="Q13" s="41">
        <v>0</v>
      </c>
      <c r="R13" s="42">
        <v>0</v>
      </c>
      <c r="S13">
        <f t="shared" si="1"/>
        <v>0</v>
      </c>
      <c r="T13" s="53">
        <f t="shared" ca="1" si="3"/>
        <v>1468</v>
      </c>
      <c r="U13" s="38">
        <f t="shared" si="2"/>
        <v>0</v>
      </c>
    </row>
    <row r="14" spans="1:23" ht="18" customHeight="1" x14ac:dyDescent="0.2">
      <c r="A14" s="3" t="s">
        <v>59</v>
      </c>
      <c r="B14" s="32" t="s">
        <v>58</v>
      </c>
      <c r="C14" s="3">
        <v>31</v>
      </c>
      <c r="D14" s="3">
        <v>15.4</v>
      </c>
      <c r="E14" s="52">
        <v>1.5</v>
      </c>
      <c r="F14" s="41">
        <v>0</v>
      </c>
      <c r="G14" s="41">
        <v>0</v>
      </c>
      <c r="H14" s="41">
        <v>0</v>
      </c>
      <c r="I14" s="43">
        <f t="shared" ref="I14" si="7">$R14</f>
        <v>0</v>
      </c>
      <c r="J14" s="43">
        <f t="shared" si="0"/>
        <v>0</v>
      </c>
      <c r="K14" s="43">
        <f t="shared" si="0"/>
        <v>0</v>
      </c>
      <c r="L14" s="41">
        <v>0</v>
      </c>
      <c r="M14" s="46">
        <v>0</v>
      </c>
      <c r="N14" s="46">
        <v>0</v>
      </c>
      <c r="O14" s="46">
        <v>0</v>
      </c>
      <c r="P14" s="41">
        <v>0</v>
      </c>
      <c r="Q14" s="41">
        <v>0</v>
      </c>
      <c r="R14" s="42">
        <v>0</v>
      </c>
      <c r="S14">
        <f t="shared" si="1"/>
        <v>0</v>
      </c>
      <c r="T14" s="53">
        <f t="shared" ca="1" si="3"/>
        <v>833</v>
      </c>
      <c r="U14" s="38">
        <f t="shared" si="2"/>
        <v>0</v>
      </c>
    </row>
    <row r="15" spans="1:23" ht="18" customHeight="1" x14ac:dyDescent="0.2">
      <c r="A15" s="3" t="s">
        <v>62</v>
      </c>
      <c r="B15" s="32" t="s">
        <v>61</v>
      </c>
      <c r="C15" s="3">
        <v>31</v>
      </c>
      <c r="D15" s="3">
        <v>15.4</v>
      </c>
      <c r="E15" s="52">
        <v>2.2000000000000002</v>
      </c>
      <c r="F15" s="41">
        <v>0</v>
      </c>
      <c r="G15" s="41">
        <v>0</v>
      </c>
      <c r="H15" s="41">
        <v>0</v>
      </c>
      <c r="I15" s="46">
        <v>0</v>
      </c>
      <c r="J15" s="46">
        <v>0</v>
      </c>
      <c r="K15" s="46">
        <v>0</v>
      </c>
      <c r="L15" s="41">
        <v>0</v>
      </c>
      <c r="M15" s="45">
        <f t="shared" si="0"/>
        <v>0</v>
      </c>
      <c r="N15" s="45">
        <f t="shared" si="0"/>
        <v>0</v>
      </c>
      <c r="O15" s="45">
        <f t="shared" si="0"/>
        <v>0</v>
      </c>
      <c r="P15" s="41">
        <v>0</v>
      </c>
      <c r="Q15" s="41">
        <v>0</v>
      </c>
      <c r="R15" s="42">
        <v>0</v>
      </c>
      <c r="S15">
        <f t="shared" si="1"/>
        <v>0</v>
      </c>
      <c r="T15" s="53">
        <f t="shared" ca="1" si="3"/>
        <v>862</v>
      </c>
      <c r="U15" s="38">
        <f t="shared" si="2"/>
        <v>0</v>
      </c>
    </row>
    <row r="16" spans="1:23" ht="18" customHeight="1" thickBot="1" x14ac:dyDescent="0.25">
      <c r="A16" s="3" t="s">
        <v>63</v>
      </c>
      <c r="B16" s="32" t="s">
        <v>64</v>
      </c>
      <c r="C16" s="3">
        <v>15.46</v>
      </c>
      <c r="D16" s="3">
        <v>5.178E-2</v>
      </c>
      <c r="E16" s="52">
        <v>3.1</v>
      </c>
      <c r="F16" s="55">
        <v>0</v>
      </c>
      <c r="G16" s="55">
        <v>0</v>
      </c>
      <c r="H16" s="56">
        <f t="shared" ref="H16:L16" si="8">$R16</f>
        <v>0</v>
      </c>
      <c r="I16" s="56">
        <f t="shared" si="8"/>
        <v>0</v>
      </c>
      <c r="J16" s="56">
        <f t="shared" si="8"/>
        <v>0</v>
      </c>
      <c r="K16" s="56">
        <f t="shared" si="8"/>
        <v>0</v>
      </c>
      <c r="L16" s="56">
        <f t="shared" si="8"/>
        <v>0</v>
      </c>
      <c r="M16" s="56">
        <f t="shared" si="0"/>
        <v>0</v>
      </c>
      <c r="N16" s="57">
        <v>0</v>
      </c>
      <c r="O16" s="57">
        <v>0</v>
      </c>
      <c r="P16" s="55">
        <v>0</v>
      </c>
      <c r="Q16" s="55">
        <v>0</v>
      </c>
      <c r="R16" s="42">
        <v>0</v>
      </c>
      <c r="S16">
        <f t="shared" si="1"/>
        <v>0</v>
      </c>
      <c r="T16" s="53">
        <f t="shared" ca="1" si="3"/>
        <v>556</v>
      </c>
      <c r="U16" s="58">
        <f t="shared" si="2"/>
        <v>0</v>
      </c>
    </row>
    <row r="17" spans="5:22" ht="18" customHeight="1" x14ac:dyDescent="0.2">
      <c r="E17" s="50" t="s">
        <v>162</v>
      </c>
      <c r="F17" s="47">
        <f>SUM(F3:F16)</f>
        <v>0</v>
      </c>
      <c r="G17" s="47">
        <f t="shared" ref="G17:Q17" si="9">SUM(G3:G16)</f>
        <v>0</v>
      </c>
      <c r="H17" s="47">
        <f t="shared" si="9"/>
        <v>0</v>
      </c>
      <c r="I17" s="47">
        <f t="shared" si="9"/>
        <v>0</v>
      </c>
      <c r="J17" s="47">
        <f t="shared" si="9"/>
        <v>0</v>
      </c>
      <c r="K17" s="47">
        <f t="shared" si="9"/>
        <v>0</v>
      </c>
      <c r="L17" s="47">
        <f t="shared" si="9"/>
        <v>0</v>
      </c>
      <c r="M17" s="47">
        <f t="shared" si="9"/>
        <v>0</v>
      </c>
      <c r="N17" s="47">
        <f t="shared" si="9"/>
        <v>0</v>
      </c>
      <c r="O17" s="47">
        <f t="shared" si="9"/>
        <v>0</v>
      </c>
      <c r="P17" s="47">
        <f t="shared" si="9"/>
        <v>0</v>
      </c>
      <c r="Q17" s="47">
        <f t="shared" si="9"/>
        <v>0</v>
      </c>
      <c r="R17" s="48"/>
      <c r="U17" s="59">
        <f>SUM(U3:U16)</f>
        <v>0</v>
      </c>
      <c r="V17" t="s">
        <v>69</v>
      </c>
    </row>
    <row r="18" spans="5:22" ht="18" customHeight="1" thickBot="1" x14ac:dyDescent="0.25">
      <c r="E18" s="50"/>
      <c r="F18"/>
      <c r="U18" s="60">
        <f>SUM(F21:Q21)</f>
        <v>0</v>
      </c>
      <c r="V18" t="s">
        <v>188</v>
      </c>
    </row>
    <row r="19" spans="5:22" ht="18" customHeight="1" thickTop="1" x14ac:dyDescent="0.2">
      <c r="E19" s="50"/>
      <c r="F19"/>
      <c r="U19" s="61">
        <f>U17-U18</f>
        <v>0</v>
      </c>
      <c r="V19" t="s">
        <v>164</v>
      </c>
    </row>
    <row r="20" spans="5:22" ht="18" customHeight="1" thickBot="1" x14ac:dyDescent="0.25">
      <c r="E20" s="62" t="s">
        <v>189</v>
      </c>
      <c r="F20" s="63">
        <f t="shared" ref="F20:Q20" si="10">IF(F18&lt;F19,ABS(F18-F19),0)</f>
        <v>0</v>
      </c>
      <c r="G20" s="63">
        <f t="shared" si="10"/>
        <v>0</v>
      </c>
      <c r="H20" s="63">
        <f t="shared" si="10"/>
        <v>0</v>
      </c>
      <c r="I20" s="63">
        <f t="shared" si="10"/>
        <v>0</v>
      </c>
      <c r="J20" s="63">
        <f t="shared" si="10"/>
        <v>0</v>
      </c>
      <c r="K20" s="63">
        <f t="shared" si="10"/>
        <v>0</v>
      </c>
      <c r="L20" s="63">
        <f t="shared" si="10"/>
        <v>0</v>
      </c>
      <c r="M20" s="63">
        <f t="shared" si="10"/>
        <v>0</v>
      </c>
      <c r="N20" s="63">
        <f t="shared" si="10"/>
        <v>0</v>
      </c>
      <c r="O20" s="63">
        <f t="shared" si="10"/>
        <v>0</v>
      </c>
      <c r="P20" s="63">
        <f t="shared" si="10"/>
        <v>0</v>
      </c>
      <c r="Q20" s="63">
        <f t="shared" si="10"/>
        <v>0</v>
      </c>
    </row>
    <row r="21" spans="5:22" ht="18" customHeight="1" x14ac:dyDescent="0.2">
      <c r="E21" s="50" t="s">
        <v>190</v>
      </c>
      <c r="F21" s="64">
        <f t="shared" ref="F21:Q21" si="11">F20*$W$7</f>
        <v>0</v>
      </c>
      <c r="G21" s="64">
        <f t="shared" si="11"/>
        <v>0</v>
      </c>
      <c r="H21" s="64">
        <f t="shared" si="11"/>
        <v>0</v>
      </c>
      <c r="I21" s="64">
        <f t="shared" si="11"/>
        <v>0</v>
      </c>
      <c r="J21" s="64">
        <f t="shared" si="11"/>
        <v>0</v>
      </c>
      <c r="K21" s="64">
        <f t="shared" si="11"/>
        <v>0</v>
      </c>
      <c r="L21" s="64">
        <f t="shared" si="11"/>
        <v>0</v>
      </c>
      <c r="M21" s="64">
        <f t="shared" si="11"/>
        <v>0</v>
      </c>
      <c r="N21" s="64">
        <f t="shared" si="11"/>
        <v>0</v>
      </c>
      <c r="O21" s="64">
        <f t="shared" si="11"/>
        <v>0</v>
      </c>
      <c r="P21" s="64">
        <f t="shared" si="11"/>
        <v>0</v>
      </c>
      <c r="Q21" s="64">
        <f t="shared" si="1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527C09C10FC94AAAB6A7F302911198" ma:contentTypeVersion="3" ma:contentTypeDescription="Create a new document." ma:contentTypeScope="" ma:versionID="3b9befb8f44d84353816cc7e01ff375a">
  <xsd:schema xmlns:xsd="http://www.w3.org/2001/XMLSchema" xmlns:xs="http://www.w3.org/2001/XMLSchema" xmlns:p="http://schemas.microsoft.com/office/2006/metadata/properties" xmlns:ns2="acb09066-0139-49ef-8d62-7c687394aa93" targetNamespace="http://schemas.microsoft.com/office/2006/metadata/properties" ma:root="true" ma:fieldsID="2fcbb518f1d4e5a9045d974504644ea8" ns2:_="">
    <xsd:import namespace="acb09066-0139-49ef-8d62-7c687394a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09066-0139-49ef-8d62-7c687394a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19939-99CF-408E-AA08-250E3B482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09066-0139-49ef-8d62-7c687394a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C35A11-1B96-4F6C-9C28-6AABBE2AA9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974CAD-BB5D-472B-A3E2-B4E1495571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ModelSeasons</vt:lpstr>
      <vt:lpstr>ModelMonthly</vt:lpstr>
      <vt:lpstr>ModelDemand (Hypothetical)</vt:lpstr>
      <vt:lpstr>Model</vt:lpstr>
      <vt:lpstr>Answer Report 1</vt:lpstr>
      <vt:lpstr>ModelAnnualWater (2)</vt:lpstr>
      <vt:lpstr>ModelMonthlyWater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Chuck Gunderson</dc:creator>
  <cp:keywords/>
  <dc:description/>
  <cp:lastModifiedBy>Chuck Gunderson</cp:lastModifiedBy>
  <cp:revision/>
  <dcterms:created xsi:type="dcterms:W3CDTF">2025-05-05T19:12:56Z</dcterms:created>
  <dcterms:modified xsi:type="dcterms:W3CDTF">2025-12-23T02:04:46Z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0x01010085527C09C10FC94AAAB6A7F302911198</vt:lpwstr>
  </property>
</Properties>
</file>